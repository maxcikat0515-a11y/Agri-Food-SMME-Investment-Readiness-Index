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vironmentza-my.sharepoint.com/personal/mkater_environment_gov_za/Documents/Documents/Personal/Data analytics course/Capstone_Project/SME_Horticulture/Final_Project_documentation/"/>
    </mc:Choice>
  </mc:AlternateContent>
  <xr:revisionPtr revIDLastSave="4" documentId="8_{F6909D34-7330-4482-BCE9-78C34259E3AE}" xr6:coauthVersionLast="47" xr6:coauthVersionMax="47" xr10:uidLastSave="{32A5BB23-EED4-41A0-BE94-2E9F24BAAE38}"/>
  <bookViews>
    <workbookView xWindow="-110" yWindow="-110" windowWidth="19420" windowHeight="10300" activeTab="3" xr2:uid="{B1C1740C-D34F-4B48-90F3-63A43A03F639}"/>
  </bookViews>
  <sheets>
    <sheet name="cleaned_data" sheetId="1" r:id="rId1"/>
    <sheet name="Score_Calculations" sheetId="2" r:id="rId2"/>
    <sheet name="Pillar_Scores" sheetId="3" r:id="rId3"/>
    <sheet name="Final_Ranking" sheetId="6" r:id="rId4"/>
  </sheets>
  <definedNames>
    <definedName name="_xlnm._FilterDatabase" localSheetId="3" hidden="1">Final_Ranking!$A$1:$J$151</definedName>
    <definedName name="_xlnm._FilterDatabase" localSheetId="2" hidden="1">Pillar_Scores!$A$1:$G$151</definedName>
    <definedName name="_xlnm._FilterDatabase" localSheetId="1" hidden="1">Score_Calculations!$A$1:$AF$151</definedName>
    <definedName name="ExternalData_2" localSheetId="0" hidden="1">cleaned_data!$A$1:$AS$151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6" l="1" a="1"/>
  <c r="J4" i="6" a="1"/>
  <c r="J5" i="6" a="1"/>
  <c r="J6" i="6" a="1"/>
  <c r="J7" i="6" a="1"/>
  <c r="J8" i="6" a="1"/>
  <c r="J9" i="6" a="1"/>
  <c r="J10" i="6" a="1"/>
  <c r="J11" i="6" a="1"/>
  <c r="J12" i="6" a="1"/>
  <c r="J13" i="6" a="1"/>
  <c r="J14" i="6" a="1"/>
  <c r="J15" i="6" a="1"/>
  <c r="J16" i="6" a="1"/>
  <c r="J17" i="6" a="1"/>
  <c r="J18" i="6" a="1"/>
  <c r="J19" i="6" a="1"/>
  <c r="J20" i="6" a="1"/>
  <c r="J21" i="6" a="1"/>
  <c r="J22" i="6" a="1"/>
  <c r="J23" i="6" a="1"/>
  <c r="J24" i="6" a="1"/>
  <c r="J25" i="6" a="1"/>
  <c r="J26" i="6" a="1"/>
  <c r="J27" i="6" a="1"/>
  <c r="J28" i="6" a="1"/>
  <c r="J29" i="6" a="1"/>
  <c r="J30" i="6" a="1"/>
  <c r="J31" i="6" a="1"/>
  <c r="J32" i="6" a="1"/>
  <c r="J33" i="6" a="1"/>
  <c r="J34" i="6" a="1"/>
  <c r="J35" i="6" a="1"/>
  <c r="J36" i="6" a="1"/>
  <c r="J37" i="6" a="1"/>
  <c r="J38" i="6" a="1"/>
  <c r="J39" i="6" a="1"/>
  <c r="J40" i="6" a="1"/>
  <c r="J41" i="6" a="1"/>
  <c r="J42" i="6" a="1"/>
  <c r="J43" i="6" a="1"/>
  <c r="J44" i="6" a="1"/>
  <c r="J45" i="6" a="1"/>
  <c r="J46" i="6" a="1"/>
  <c r="J47" i="6" a="1"/>
  <c r="J48" i="6" a="1"/>
  <c r="J49" i="6" a="1"/>
  <c r="J50" i="6" a="1"/>
  <c r="J51" i="6" a="1"/>
  <c r="J52" i="6" a="1"/>
  <c r="J53" i="6" a="1"/>
  <c r="J54" i="6" a="1"/>
  <c r="J55" i="6" a="1"/>
  <c r="J56" i="6" a="1"/>
  <c r="J57" i="6" a="1"/>
  <c r="J58" i="6" a="1"/>
  <c r="J59" i="6" a="1"/>
  <c r="J60" i="6" a="1"/>
  <c r="J61" i="6" a="1"/>
  <c r="J62" i="6" a="1"/>
  <c r="J63" i="6" a="1"/>
  <c r="J64" i="6" a="1"/>
  <c r="J65" i="6" a="1"/>
  <c r="J66" i="6" a="1"/>
  <c r="J67" i="6" a="1"/>
  <c r="J68" i="6" a="1"/>
  <c r="J69" i="6" a="1"/>
  <c r="J70" i="6" a="1"/>
  <c r="J71" i="6" a="1"/>
  <c r="J72" i="6" a="1"/>
  <c r="J73" i="6" a="1"/>
  <c r="J74" i="6" a="1"/>
  <c r="J75" i="6" a="1"/>
  <c r="J76" i="6" a="1"/>
  <c r="J77" i="6" a="1"/>
  <c r="J78" i="6" a="1"/>
  <c r="J79" i="6" a="1"/>
  <c r="J80" i="6" a="1"/>
  <c r="J81" i="6" a="1"/>
  <c r="J82" i="6" a="1"/>
  <c r="J83" i="6" a="1"/>
  <c r="J84" i="6" a="1"/>
  <c r="J85" i="6" a="1"/>
  <c r="J86" i="6" a="1"/>
  <c r="J87" i="6" a="1"/>
  <c r="J88" i="6" a="1"/>
  <c r="J89" i="6" a="1"/>
  <c r="J90" i="6" a="1"/>
  <c r="J91" i="6" a="1"/>
  <c r="J92" i="6" a="1"/>
  <c r="J93" i="6" a="1"/>
  <c r="J94" i="6" a="1"/>
  <c r="J95" i="6" a="1"/>
  <c r="J96" i="6" a="1"/>
  <c r="J97" i="6" a="1"/>
  <c r="J98" i="6" a="1"/>
  <c r="J99" i="6" a="1"/>
  <c r="J100" i="6" a="1"/>
  <c r="J101" i="6" a="1"/>
  <c r="J102" i="6" a="1"/>
  <c r="J103" i="6" a="1"/>
  <c r="J104" i="6" a="1"/>
  <c r="J105" i="6" a="1"/>
  <c r="J106" i="6" a="1"/>
  <c r="J107" i="6" a="1"/>
  <c r="J108" i="6" a="1"/>
  <c r="J109" i="6" a="1"/>
  <c r="J110" i="6" a="1"/>
  <c r="J111" i="6" a="1"/>
  <c r="J112" i="6" a="1"/>
  <c r="J113" i="6" a="1"/>
  <c r="J114" i="6" a="1"/>
  <c r="J115" i="6" a="1"/>
  <c r="J116" i="6" a="1"/>
  <c r="J117" i="6" a="1"/>
  <c r="J118" i="6" a="1"/>
  <c r="J119" i="6" a="1"/>
  <c r="J120" i="6" a="1"/>
  <c r="J121" i="6" a="1"/>
  <c r="J122" i="6" a="1"/>
  <c r="J123" i="6" a="1"/>
  <c r="J124" i="6" a="1"/>
  <c r="J125" i="6" a="1"/>
  <c r="J126" i="6" a="1"/>
  <c r="J127" i="6" a="1"/>
  <c r="J128" i="6" a="1"/>
  <c r="J129" i="6" a="1"/>
  <c r="J130" i="6" a="1"/>
  <c r="J131" i="6" a="1"/>
  <c r="J132" i="6" a="1"/>
  <c r="J133" i="6" a="1"/>
  <c r="J134" i="6" a="1"/>
  <c r="J135" i="6" a="1"/>
  <c r="J136" i="6" a="1"/>
  <c r="J137" i="6" a="1"/>
  <c r="J138" i="6" a="1"/>
  <c r="J139" i="6" a="1"/>
  <c r="J140" i="6" a="1"/>
  <c r="J141" i="6" a="1"/>
  <c r="J142" i="6" a="1"/>
  <c r="J143" i="6" a="1"/>
  <c r="J144" i="6" a="1"/>
  <c r="J145" i="6" a="1"/>
  <c r="J146" i="6" a="1"/>
  <c r="J147" i="6" a="1"/>
  <c r="J148" i="6" a="1"/>
  <c r="J149" i="6" a="1"/>
  <c r="J150" i="6" a="1"/>
  <c r="J151" i="6" a="1"/>
  <c r="J2" i="6" a="1"/>
  <c r="I2" i="6"/>
  <c r="G2" i="3"/>
  <c r="F2" i="3"/>
  <c r="E2" i="3"/>
  <c r="D2" i="3"/>
  <c r="C2" i="3"/>
  <c r="C3" i="3"/>
  <c r="AF3" i="2"/>
  <c r="H7" i="6"/>
  <c r="H10" i="6"/>
  <c r="H8" i="6"/>
  <c r="H16" i="6"/>
  <c r="H20" i="6"/>
  <c r="H56" i="6"/>
  <c r="H51" i="6"/>
  <c r="H9" i="6"/>
  <c r="H34" i="6"/>
  <c r="H32" i="6"/>
  <c r="H39" i="6"/>
  <c r="H21" i="6"/>
  <c r="H55" i="6"/>
  <c r="H60" i="6"/>
  <c r="H35" i="6"/>
  <c r="H31" i="6"/>
  <c r="H2" i="6"/>
  <c r="H6" i="6"/>
  <c r="H47" i="6"/>
  <c r="H25" i="6"/>
  <c r="H5" i="6"/>
  <c r="H50" i="6"/>
  <c r="H23" i="6"/>
  <c r="H33" i="6"/>
  <c r="H38" i="6"/>
  <c r="H19" i="6"/>
  <c r="H46" i="6"/>
  <c r="H11" i="6"/>
  <c r="H97" i="6"/>
  <c r="H17" i="6"/>
  <c r="H27" i="6"/>
  <c r="H24" i="6"/>
  <c r="H3" i="6"/>
  <c r="H28" i="6"/>
  <c r="H14" i="6"/>
  <c r="H37" i="6"/>
  <c r="H4" i="6"/>
  <c r="H12" i="6"/>
  <c r="H22" i="6"/>
  <c r="H77" i="6"/>
  <c r="H13" i="6"/>
  <c r="H41" i="6"/>
  <c r="H26" i="6"/>
  <c r="H30" i="6"/>
  <c r="H44" i="6"/>
  <c r="H65" i="6"/>
  <c r="H57" i="6"/>
  <c r="H15" i="6"/>
  <c r="H42" i="6"/>
  <c r="H18" i="6"/>
  <c r="H59" i="6"/>
  <c r="H119" i="6"/>
  <c r="H136" i="6"/>
  <c r="H29" i="6"/>
  <c r="H63" i="6"/>
  <c r="H109" i="6"/>
  <c r="H45" i="6"/>
  <c r="H61" i="6"/>
  <c r="H86" i="6"/>
  <c r="H94" i="6"/>
  <c r="H91" i="6"/>
  <c r="H52" i="6"/>
  <c r="H130" i="6"/>
  <c r="H131" i="6"/>
  <c r="H76" i="6"/>
  <c r="H80" i="6"/>
  <c r="H73" i="6"/>
  <c r="H102" i="6"/>
  <c r="H108" i="6"/>
  <c r="H92" i="6"/>
  <c r="H127" i="6"/>
  <c r="H83" i="6"/>
  <c r="H89" i="6"/>
  <c r="H82" i="6"/>
  <c r="H85" i="6"/>
  <c r="H106" i="6"/>
  <c r="H64" i="6"/>
  <c r="H67" i="6"/>
  <c r="H58" i="6"/>
  <c r="H75" i="6"/>
  <c r="H69" i="6"/>
  <c r="H134" i="6"/>
  <c r="H70" i="6"/>
  <c r="H66" i="6"/>
  <c r="H100" i="6"/>
  <c r="H79" i="6"/>
  <c r="H68" i="6"/>
  <c r="H129" i="6"/>
  <c r="H120" i="6"/>
  <c r="H53" i="6"/>
  <c r="H49" i="6"/>
  <c r="H107" i="6"/>
  <c r="H104" i="6"/>
  <c r="H72" i="6"/>
  <c r="H118" i="6"/>
  <c r="H103" i="6"/>
  <c r="H81" i="6"/>
  <c r="H78" i="6"/>
  <c r="H101" i="6"/>
  <c r="H98" i="6"/>
  <c r="H54" i="6"/>
  <c r="H115" i="6"/>
  <c r="H90" i="6"/>
  <c r="H124" i="6"/>
  <c r="H133" i="6"/>
  <c r="H95" i="6"/>
  <c r="H99" i="6"/>
  <c r="H36" i="6"/>
  <c r="H43" i="6"/>
  <c r="H48" i="6"/>
  <c r="H105" i="6"/>
  <c r="H113" i="6"/>
  <c r="H62" i="6"/>
  <c r="H88" i="6"/>
  <c r="H93" i="6"/>
  <c r="H110" i="6"/>
  <c r="H40" i="6"/>
  <c r="H114" i="6"/>
  <c r="H96" i="6"/>
  <c r="H84" i="6"/>
  <c r="H147" i="6"/>
  <c r="H116" i="6"/>
  <c r="H135" i="6"/>
  <c r="H148" i="6"/>
  <c r="H128" i="6"/>
  <c r="H145" i="6"/>
  <c r="H146" i="6"/>
  <c r="H142" i="6"/>
  <c r="H139" i="6"/>
  <c r="H117" i="6"/>
  <c r="H121" i="6"/>
  <c r="H150" i="6"/>
  <c r="H125" i="6"/>
  <c r="H126" i="6"/>
  <c r="H141" i="6"/>
  <c r="H111" i="6"/>
  <c r="H140" i="6"/>
  <c r="H143" i="6"/>
  <c r="H123" i="6"/>
  <c r="H137" i="6"/>
  <c r="H149" i="6"/>
  <c r="H132" i="6"/>
  <c r="H144" i="6"/>
  <c r="H138" i="6"/>
  <c r="H151" i="6"/>
  <c r="H87" i="6"/>
  <c r="H74" i="6"/>
  <c r="H112" i="6"/>
  <c r="H71" i="6"/>
  <c r="H122" i="6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2" i="2"/>
  <c r="AE3" i="2" a="1"/>
  <c r="AE4" i="2" a="1"/>
  <c r="AE5" i="2" a="1"/>
  <c r="AE6" i="2" a="1"/>
  <c r="AE7" i="2" a="1"/>
  <c r="AE8" i="2" a="1"/>
  <c r="AE9" i="2" a="1"/>
  <c r="AE10" i="2" a="1"/>
  <c r="AE11" i="2" a="1"/>
  <c r="AE12" i="2" a="1"/>
  <c r="AE13" i="2" a="1"/>
  <c r="AE14" i="2" a="1"/>
  <c r="AE15" i="2" a="1"/>
  <c r="AE16" i="2" a="1"/>
  <c r="AE17" i="2" a="1"/>
  <c r="AE18" i="2" a="1"/>
  <c r="AE19" i="2" a="1"/>
  <c r="AE20" i="2" a="1"/>
  <c r="AE21" i="2" a="1"/>
  <c r="AE22" i="2" a="1"/>
  <c r="AE23" i="2" a="1"/>
  <c r="AE24" i="2" a="1"/>
  <c r="AE25" i="2" a="1"/>
  <c r="AE26" i="2" a="1"/>
  <c r="AE27" i="2" a="1"/>
  <c r="AE28" i="2" a="1"/>
  <c r="AE29" i="2" a="1"/>
  <c r="AE30" i="2" a="1"/>
  <c r="AE31" i="2" a="1"/>
  <c r="AE32" i="2" a="1"/>
  <c r="AE33" i="2" a="1"/>
  <c r="AE34" i="2" a="1"/>
  <c r="AE35" i="2" a="1"/>
  <c r="AE36" i="2" a="1"/>
  <c r="AE37" i="2" a="1"/>
  <c r="AE38" i="2" a="1"/>
  <c r="AE39" i="2" a="1"/>
  <c r="AE40" i="2" a="1"/>
  <c r="AE41" i="2" a="1"/>
  <c r="AE42" i="2" a="1"/>
  <c r="AE43" i="2" a="1"/>
  <c r="AE44" i="2" a="1"/>
  <c r="AE45" i="2" a="1"/>
  <c r="AE46" i="2" a="1"/>
  <c r="AE47" i="2" a="1"/>
  <c r="AE48" i="2" a="1"/>
  <c r="AE49" i="2" a="1"/>
  <c r="AE50" i="2" a="1"/>
  <c r="AE51" i="2" a="1"/>
  <c r="AE52" i="2" a="1"/>
  <c r="AE53" i="2" a="1"/>
  <c r="AE54" i="2" a="1"/>
  <c r="AE55" i="2" a="1"/>
  <c r="AE56" i="2" a="1"/>
  <c r="AE57" i="2" a="1"/>
  <c r="AE58" i="2" a="1"/>
  <c r="AE59" i="2" a="1"/>
  <c r="AE60" i="2" a="1"/>
  <c r="AE61" i="2" a="1"/>
  <c r="AE62" i="2" a="1"/>
  <c r="AE63" i="2" a="1"/>
  <c r="AE64" i="2" a="1"/>
  <c r="AE65" i="2" a="1"/>
  <c r="AE66" i="2" a="1"/>
  <c r="AE67" i="2" a="1"/>
  <c r="AE68" i="2" a="1"/>
  <c r="AE69" i="2" a="1"/>
  <c r="AE70" i="2" a="1"/>
  <c r="AE71" i="2" a="1"/>
  <c r="AE72" i="2" a="1"/>
  <c r="AE73" i="2" a="1"/>
  <c r="AE74" i="2" a="1"/>
  <c r="AE75" i="2" a="1"/>
  <c r="AE76" i="2" a="1"/>
  <c r="AE77" i="2" a="1"/>
  <c r="AE78" i="2" a="1"/>
  <c r="AE79" i="2" a="1"/>
  <c r="AE80" i="2" a="1"/>
  <c r="AE81" i="2" a="1"/>
  <c r="AE82" i="2" a="1"/>
  <c r="AE83" i="2" a="1"/>
  <c r="AE84" i="2" a="1"/>
  <c r="AE85" i="2" a="1"/>
  <c r="AE86" i="2" a="1"/>
  <c r="AE87" i="2" a="1"/>
  <c r="AE88" i="2" a="1"/>
  <c r="AE89" i="2" a="1"/>
  <c r="AE90" i="2" a="1"/>
  <c r="AE91" i="2" a="1"/>
  <c r="AE92" i="2" a="1"/>
  <c r="AE93" i="2" a="1"/>
  <c r="AE94" i="2" a="1"/>
  <c r="AE95" i="2" a="1"/>
  <c r="AE96" i="2" a="1"/>
  <c r="AE97" i="2" a="1"/>
  <c r="AE98" i="2" a="1"/>
  <c r="AE99" i="2" a="1"/>
  <c r="AE100" i="2" a="1"/>
  <c r="AE101" i="2" a="1"/>
  <c r="AE102" i="2" a="1"/>
  <c r="AE103" i="2" a="1"/>
  <c r="AE104" i="2" a="1"/>
  <c r="AE105" i="2" a="1"/>
  <c r="AE106" i="2" a="1"/>
  <c r="AE107" i="2" a="1"/>
  <c r="AE108" i="2" a="1"/>
  <c r="AE109" i="2" a="1"/>
  <c r="AE110" i="2" a="1"/>
  <c r="AE111" i="2" a="1"/>
  <c r="AE112" i="2" a="1"/>
  <c r="AE113" i="2" a="1"/>
  <c r="AE114" i="2" a="1"/>
  <c r="AE115" i="2" a="1"/>
  <c r="AE116" i="2" a="1"/>
  <c r="AE117" i="2" a="1"/>
  <c r="AE118" i="2" a="1"/>
  <c r="AE119" i="2" a="1"/>
  <c r="AE120" i="2" a="1"/>
  <c r="AE121" i="2" a="1"/>
  <c r="AE122" i="2" a="1"/>
  <c r="AE123" i="2" a="1"/>
  <c r="AE124" i="2" a="1"/>
  <c r="AE125" i="2" a="1"/>
  <c r="AE126" i="2" a="1"/>
  <c r="AE127" i="2" a="1"/>
  <c r="AE128" i="2" a="1"/>
  <c r="AE129" i="2" a="1"/>
  <c r="AE130" i="2" a="1"/>
  <c r="AE131" i="2" a="1"/>
  <c r="AE132" i="2" a="1"/>
  <c r="AE133" i="2" a="1"/>
  <c r="AE134" i="2" a="1"/>
  <c r="AE135" i="2" a="1"/>
  <c r="AE136" i="2" a="1"/>
  <c r="AE137" i="2" a="1"/>
  <c r="AE138" i="2" a="1"/>
  <c r="AE139" i="2" a="1"/>
  <c r="AE140" i="2" a="1"/>
  <c r="AE141" i="2" a="1"/>
  <c r="AE142" i="2" a="1"/>
  <c r="AE143" i="2" a="1"/>
  <c r="AE144" i="2" a="1"/>
  <c r="AE145" i="2" a="1"/>
  <c r="AE146" i="2" a="1"/>
  <c r="AE147" i="2" a="1"/>
  <c r="AE148" i="2" a="1"/>
  <c r="AE149" i="2" a="1"/>
  <c r="AE150" i="2" a="1"/>
  <c r="AE151" i="2" a="1"/>
  <c r="AE2" i="2" a="1"/>
  <c r="AD3" i="2" a="1"/>
  <c r="AD4" i="2" a="1"/>
  <c r="AD5" i="2" a="1"/>
  <c r="AD6" i="2" a="1"/>
  <c r="AD7" i="2" a="1"/>
  <c r="AD8" i="2" a="1"/>
  <c r="AD9" i="2" a="1"/>
  <c r="AD10" i="2" a="1"/>
  <c r="AD11" i="2" a="1"/>
  <c r="AD12" i="2" a="1"/>
  <c r="AD13" i="2" a="1"/>
  <c r="AD14" i="2" a="1"/>
  <c r="AD15" i="2" a="1"/>
  <c r="AD16" i="2" a="1"/>
  <c r="AD17" i="2" a="1"/>
  <c r="AD18" i="2" a="1"/>
  <c r="AD19" i="2" a="1"/>
  <c r="AD20" i="2" a="1"/>
  <c r="AD21" i="2" a="1"/>
  <c r="AD22" i="2" a="1"/>
  <c r="AD23" i="2" a="1"/>
  <c r="AD24" i="2" a="1"/>
  <c r="AD25" i="2" a="1"/>
  <c r="AD26" i="2" a="1"/>
  <c r="AD27" i="2" a="1"/>
  <c r="AD28" i="2" a="1"/>
  <c r="AD29" i="2" a="1"/>
  <c r="AD30" i="2" a="1"/>
  <c r="AD31" i="2" a="1"/>
  <c r="AD32" i="2" a="1"/>
  <c r="AD33" i="2" a="1"/>
  <c r="AD34" i="2" a="1"/>
  <c r="AD35" i="2" a="1"/>
  <c r="AD36" i="2" a="1"/>
  <c r="AD37" i="2" a="1"/>
  <c r="AD38" i="2" a="1"/>
  <c r="AD39" i="2" a="1"/>
  <c r="AD40" i="2" a="1"/>
  <c r="AD41" i="2" a="1"/>
  <c r="AD42" i="2" a="1"/>
  <c r="AD43" i="2" a="1"/>
  <c r="AD44" i="2" a="1"/>
  <c r="AD45" i="2" a="1"/>
  <c r="AD46" i="2" a="1"/>
  <c r="AD47" i="2" a="1"/>
  <c r="AD48" i="2" a="1"/>
  <c r="AD49" i="2" a="1"/>
  <c r="AD50" i="2" a="1"/>
  <c r="AD51" i="2" a="1"/>
  <c r="AD52" i="2" a="1"/>
  <c r="AD53" i="2" a="1"/>
  <c r="AD54" i="2" a="1"/>
  <c r="AD55" i="2" a="1"/>
  <c r="AD56" i="2" a="1"/>
  <c r="AD57" i="2" a="1"/>
  <c r="AD58" i="2" a="1"/>
  <c r="AD59" i="2" a="1"/>
  <c r="AD60" i="2" a="1"/>
  <c r="AD61" i="2" a="1"/>
  <c r="AD62" i="2" a="1"/>
  <c r="AD63" i="2" a="1"/>
  <c r="AD64" i="2" a="1"/>
  <c r="AD65" i="2" a="1"/>
  <c r="AD66" i="2" a="1"/>
  <c r="AD67" i="2" a="1"/>
  <c r="AD68" i="2" a="1"/>
  <c r="AD69" i="2" a="1"/>
  <c r="AD70" i="2" a="1"/>
  <c r="AD71" i="2" a="1"/>
  <c r="AD72" i="2" a="1"/>
  <c r="AD73" i="2" a="1"/>
  <c r="AD74" i="2" a="1"/>
  <c r="AD75" i="2" a="1"/>
  <c r="AD76" i="2" a="1"/>
  <c r="AD77" i="2" a="1"/>
  <c r="AD78" i="2" a="1"/>
  <c r="AD79" i="2" a="1"/>
  <c r="AD80" i="2" a="1"/>
  <c r="AD81" i="2" a="1"/>
  <c r="AD82" i="2" a="1"/>
  <c r="AD83" i="2" a="1"/>
  <c r="AD84" i="2" a="1"/>
  <c r="AD85" i="2" a="1"/>
  <c r="AD86" i="2" a="1"/>
  <c r="AD87" i="2" a="1"/>
  <c r="AD88" i="2" a="1"/>
  <c r="AD89" i="2" a="1"/>
  <c r="AD90" i="2" a="1"/>
  <c r="AD91" i="2" a="1"/>
  <c r="AD92" i="2" a="1"/>
  <c r="AD93" i="2" a="1"/>
  <c r="AD94" i="2" a="1"/>
  <c r="AD95" i="2" a="1"/>
  <c r="AD96" i="2" a="1"/>
  <c r="AD97" i="2" a="1"/>
  <c r="AD98" i="2" a="1"/>
  <c r="AD99" i="2" a="1"/>
  <c r="AD100" i="2" a="1"/>
  <c r="AD101" i="2" a="1"/>
  <c r="AD102" i="2" a="1"/>
  <c r="AD103" i="2" a="1"/>
  <c r="AD104" i="2" a="1"/>
  <c r="AD105" i="2" a="1"/>
  <c r="AD106" i="2" a="1"/>
  <c r="AD107" i="2" a="1"/>
  <c r="AD108" i="2" a="1"/>
  <c r="AD109" i="2" a="1"/>
  <c r="AD110" i="2" a="1"/>
  <c r="AD111" i="2" a="1"/>
  <c r="AD112" i="2" a="1"/>
  <c r="AD113" i="2" a="1"/>
  <c r="AD114" i="2" a="1"/>
  <c r="AD115" i="2" a="1"/>
  <c r="AD116" i="2" a="1"/>
  <c r="AD117" i="2" a="1"/>
  <c r="AD118" i="2" a="1"/>
  <c r="AD119" i="2" a="1"/>
  <c r="AD120" i="2" a="1"/>
  <c r="AD121" i="2" a="1"/>
  <c r="AD122" i="2" a="1"/>
  <c r="AD123" i="2" a="1"/>
  <c r="AD124" i="2" a="1"/>
  <c r="AD125" i="2" a="1"/>
  <c r="AD126" i="2" a="1"/>
  <c r="AD127" i="2" a="1"/>
  <c r="AD128" i="2" a="1"/>
  <c r="AD129" i="2" a="1"/>
  <c r="AD130" i="2" a="1"/>
  <c r="AD131" i="2" a="1"/>
  <c r="AD132" i="2" a="1"/>
  <c r="AD133" i="2" a="1"/>
  <c r="AD134" i="2" a="1"/>
  <c r="AD135" i="2" a="1"/>
  <c r="AD136" i="2" a="1"/>
  <c r="AD137" i="2" a="1"/>
  <c r="AD138" i="2" a="1"/>
  <c r="AD139" i="2" a="1"/>
  <c r="AD140" i="2" a="1"/>
  <c r="AD141" i="2" a="1"/>
  <c r="AD142" i="2" a="1"/>
  <c r="AD143" i="2" a="1"/>
  <c r="AD144" i="2" a="1"/>
  <c r="AD145" i="2" a="1"/>
  <c r="AD146" i="2" a="1"/>
  <c r="AD147" i="2" a="1"/>
  <c r="AD148" i="2" a="1"/>
  <c r="AD149" i="2" a="1"/>
  <c r="AD150" i="2" a="1"/>
  <c r="AD151" i="2" a="1"/>
  <c r="AD2" i="2" a="1"/>
  <c r="AC3" i="2" a="1"/>
  <c r="AC4" i="2" a="1"/>
  <c r="AC5" i="2" a="1"/>
  <c r="AC6" i="2" a="1"/>
  <c r="AC7" i="2" a="1"/>
  <c r="AC8" i="2" a="1"/>
  <c r="AC9" i="2" a="1"/>
  <c r="AC10" i="2" a="1"/>
  <c r="AC11" i="2" a="1"/>
  <c r="AC12" i="2" a="1"/>
  <c r="AC13" i="2" a="1"/>
  <c r="AC14" i="2" a="1"/>
  <c r="AC15" i="2" a="1"/>
  <c r="AC16" i="2" a="1"/>
  <c r="AC17" i="2" a="1"/>
  <c r="AC18" i="2" a="1"/>
  <c r="AC19" i="2" a="1"/>
  <c r="AC20" i="2" a="1"/>
  <c r="AC21" i="2" a="1"/>
  <c r="AC22" i="2" a="1"/>
  <c r="AC23" i="2" a="1"/>
  <c r="AC24" i="2" a="1"/>
  <c r="AC25" i="2" a="1"/>
  <c r="AC26" i="2" a="1"/>
  <c r="AC27" i="2" a="1"/>
  <c r="AC28" i="2" a="1"/>
  <c r="AC29" i="2" a="1"/>
  <c r="AC30" i="2" a="1"/>
  <c r="AC31" i="2" a="1"/>
  <c r="AC32" i="2" a="1"/>
  <c r="AC33" i="2" a="1"/>
  <c r="AC34" i="2" a="1"/>
  <c r="AC35" i="2" a="1"/>
  <c r="AC36" i="2" a="1"/>
  <c r="AC37" i="2" a="1"/>
  <c r="AC38" i="2" a="1"/>
  <c r="AC39" i="2" a="1"/>
  <c r="AC40" i="2" a="1"/>
  <c r="AC41" i="2" a="1"/>
  <c r="AC42" i="2" a="1"/>
  <c r="AC43" i="2" a="1"/>
  <c r="AC44" i="2" a="1"/>
  <c r="AC45" i="2" a="1"/>
  <c r="AC46" i="2" a="1"/>
  <c r="AC47" i="2" a="1"/>
  <c r="AC48" i="2" a="1"/>
  <c r="AC49" i="2" a="1"/>
  <c r="AC50" i="2" a="1"/>
  <c r="AC51" i="2" a="1"/>
  <c r="AC52" i="2" a="1"/>
  <c r="AC53" i="2" a="1"/>
  <c r="AC54" i="2" a="1"/>
  <c r="AC55" i="2" a="1"/>
  <c r="AC56" i="2" a="1"/>
  <c r="AC57" i="2" a="1"/>
  <c r="AC58" i="2" a="1"/>
  <c r="AC59" i="2" a="1"/>
  <c r="AC60" i="2" a="1"/>
  <c r="AC61" i="2" a="1"/>
  <c r="AC62" i="2" a="1"/>
  <c r="AC63" i="2" a="1"/>
  <c r="AC64" i="2" a="1"/>
  <c r="AC65" i="2" a="1"/>
  <c r="AC66" i="2" a="1"/>
  <c r="AC67" i="2" a="1"/>
  <c r="AC68" i="2" a="1"/>
  <c r="AC69" i="2" a="1"/>
  <c r="AC70" i="2" a="1"/>
  <c r="AC71" i="2" a="1"/>
  <c r="AC72" i="2" a="1"/>
  <c r="AC73" i="2" a="1"/>
  <c r="AC74" i="2" a="1"/>
  <c r="AC75" i="2" a="1"/>
  <c r="AC76" i="2" a="1"/>
  <c r="AC77" i="2" a="1"/>
  <c r="AC78" i="2" a="1"/>
  <c r="AC79" i="2" a="1"/>
  <c r="AC80" i="2" a="1"/>
  <c r="AC81" i="2" a="1"/>
  <c r="AC82" i="2" a="1"/>
  <c r="AC83" i="2" a="1"/>
  <c r="AC84" i="2" a="1"/>
  <c r="AC85" i="2" a="1"/>
  <c r="AC86" i="2" a="1"/>
  <c r="AC87" i="2" a="1"/>
  <c r="AC88" i="2" a="1"/>
  <c r="AC89" i="2" a="1"/>
  <c r="AC90" i="2" a="1"/>
  <c r="AC91" i="2" a="1"/>
  <c r="AC92" i="2" a="1"/>
  <c r="AC93" i="2" a="1"/>
  <c r="AC94" i="2" a="1"/>
  <c r="AC95" i="2" a="1"/>
  <c r="AC96" i="2" a="1"/>
  <c r="AC97" i="2" a="1"/>
  <c r="AC98" i="2" a="1"/>
  <c r="AC99" i="2" a="1"/>
  <c r="AC100" i="2" a="1"/>
  <c r="AC101" i="2" a="1"/>
  <c r="AC102" i="2" a="1"/>
  <c r="AC103" i="2" a="1"/>
  <c r="AC104" i="2" a="1"/>
  <c r="AC105" i="2" a="1"/>
  <c r="AC106" i="2" a="1"/>
  <c r="AC107" i="2" a="1"/>
  <c r="AC108" i="2" a="1"/>
  <c r="AC109" i="2" a="1"/>
  <c r="AC110" i="2" a="1"/>
  <c r="AC111" i="2" a="1"/>
  <c r="AC112" i="2" a="1"/>
  <c r="AC113" i="2" a="1"/>
  <c r="AC114" i="2" a="1"/>
  <c r="AC115" i="2" a="1"/>
  <c r="AC116" i="2" a="1"/>
  <c r="AC117" i="2" a="1"/>
  <c r="AC118" i="2" a="1"/>
  <c r="AC119" i="2" a="1"/>
  <c r="AC120" i="2" a="1"/>
  <c r="AC121" i="2" a="1"/>
  <c r="AC122" i="2" a="1"/>
  <c r="AC123" i="2" a="1"/>
  <c r="AC124" i="2" a="1"/>
  <c r="AC125" i="2" a="1"/>
  <c r="AC126" i="2" a="1"/>
  <c r="AC127" i="2" a="1"/>
  <c r="AC128" i="2" a="1"/>
  <c r="AC129" i="2" a="1"/>
  <c r="AC130" i="2" a="1"/>
  <c r="AC131" i="2" a="1"/>
  <c r="AC132" i="2" a="1"/>
  <c r="AC133" i="2" a="1"/>
  <c r="AC134" i="2" a="1"/>
  <c r="AC135" i="2" a="1"/>
  <c r="AC136" i="2" a="1"/>
  <c r="AC137" i="2" a="1"/>
  <c r="AC138" i="2" a="1"/>
  <c r="AC139" i="2" a="1"/>
  <c r="AC140" i="2" a="1"/>
  <c r="AC141" i="2" a="1"/>
  <c r="AC142" i="2" a="1"/>
  <c r="AC143" i="2" a="1"/>
  <c r="AC144" i="2" a="1"/>
  <c r="AC145" i="2" a="1"/>
  <c r="AC146" i="2" a="1"/>
  <c r="AC147" i="2" a="1"/>
  <c r="AC148" i="2" a="1"/>
  <c r="AC149" i="2" a="1"/>
  <c r="AC150" i="2" a="1"/>
  <c r="AC151" i="2" a="1"/>
  <c r="AC2" i="2" a="1"/>
  <c r="AB2" i="2" a="1"/>
  <c r="AB3" i="2" a="1"/>
  <c r="AB4" i="2" a="1"/>
  <c r="AB5" i="2" a="1"/>
  <c r="AB6" i="2" a="1"/>
  <c r="AB7" i="2" a="1"/>
  <c r="AB8" i="2" a="1"/>
  <c r="AB9" i="2" a="1"/>
  <c r="AB10" i="2" a="1"/>
  <c r="AB11" i="2" a="1"/>
  <c r="AB12" i="2" a="1"/>
  <c r="AB13" i="2" a="1"/>
  <c r="AB14" i="2" a="1"/>
  <c r="AB15" i="2" a="1"/>
  <c r="AB16" i="2" a="1"/>
  <c r="AB17" i="2" a="1"/>
  <c r="AB18" i="2" a="1"/>
  <c r="AB19" i="2" a="1"/>
  <c r="AB20" i="2" a="1"/>
  <c r="AB21" i="2" a="1"/>
  <c r="AB22" i="2" a="1"/>
  <c r="AB23" i="2" a="1"/>
  <c r="AB24" i="2" a="1"/>
  <c r="AB25" i="2" a="1"/>
  <c r="AB26" i="2" a="1"/>
  <c r="AB27" i="2" a="1"/>
  <c r="AB28" i="2" a="1"/>
  <c r="AB29" i="2" a="1"/>
  <c r="AB30" i="2" a="1"/>
  <c r="AB31" i="2" a="1"/>
  <c r="AB32" i="2" a="1"/>
  <c r="AB33" i="2" a="1"/>
  <c r="AB34" i="2" a="1"/>
  <c r="AB35" i="2" a="1"/>
  <c r="AB36" i="2" a="1"/>
  <c r="AB37" i="2" a="1"/>
  <c r="AB38" i="2" a="1"/>
  <c r="AB39" i="2" a="1"/>
  <c r="AB40" i="2" a="1"/>
  <c r="AB41" i="2" a="1"/>
  <c r="AB42" i="2" a="1"/>
  <c r="AB43" i="2" a="1"/>
  <c r="AB44" i="2" a="1"/>
  <c r="AB45" i="2" a="1"/>
  <c r="AB46" i="2" a="1"/>
  <c r="AB47" i="2" a="1"/>
  <c r="AB48" i="2" a="1"/>
  <c r="AB49" i="2" a="1"/>
  <c r="AB50" i="2" a="1"/>
  <c r="AB51" i="2" a="1"/>
  <c r="AB52" i="2" a="1"/>
  <c r="AB53" i="2" a="1"/>
  <c r="AB54" i="2" a="1"/>
  <c r="AB55" i="2" a="1"/>
  <c r="AB56" i="2" a="1"/>
  <c r="AB57" i="2" a="1"/>
  <c r="AB58" i="2" a="1"/>
  <c r="AB59" i="2" a="1"/>
  <c r="AB60" i="2" a="1"/>
  <c r="AB61" i="2" a="1"/>
  <c r="AB62" i="2" a="1"/>
  <c r="AB63" i="2" a="1"/>
  <c r="AB64" i="2" a="1"/>
  <c r="AB65" i="2" a="1"/>
  <c r="AB66" i="2" a="1"/>
  <c r="AB67" i="2" a="1"/>
  <c r="AB68" i="2" a="1"/>
  <c r="AB69" i="2" a="1"/>
  <c r="AB70" i="2" a="1"/>
  <c r="AB71" i="2" a="1"/>
  <c r="AB72" i="2" a="1"/>
  <c r="AB73" i="2" a="1"/>
  <c r="AB74" i="2" a="1"/>
  <c r="AB75" i="2" a="1"/>
  <c r="AB76" i="2" a="1"/>
  <c r="AB77" i="2" a="1"/>
  <c r="AB78" i="2" a="1"/>
  <c r="AB79" i="2" a="1"/>
  <c r="AB80" i="2" a="1"/>
  <c r="AB81" i="2" a="1"/>
  <c r="AB82" i="2" a="1"/>
  <c r="AB83" i="2" a="1"/>
  <c r="AB84" i="2" a="1"/>
  <c r="AB85" i="2" a="1"/>
  <c r="AB86" i="2" a="1"/>
  <c r="AB87" i="2" a="1"/>
  <c r="AB88" i="2" a="1"/>
  <c r="AB89" i="2" a="1"/>
  <c r="AB90" i="2" a="1"/>
  <c r="AB91" i="2" a="1"/>
  <c r="AB92" i="2" a="1"/>
  <c r="AB93" i="2" a="1"/>
  <c r="AB94" i="2" a="1"/>
  <c r="AB95" i="2" a="1"/>
  <c r="AB96" i="2" a="1"/>
  <c r="AB97" i="2" a="1"/>
  <c r="AB98" i="2" a="1"/>
  <c r="AB99" i="2" a="1"/>
  <c r="AB100" i="2" a="1"/>
  <c r="AB101" i="2" a="1"/>
  <c r="AB102" i="2" a="1"/>
  <c r="AB103" i="2" a="1"/>
  <c r="AB104" i="2" a="1"/>
  <c r="AB105" i="2" a="1"/>
  <c r="AB106" i="2" a="1"/>
  <c r="AB107" i="2" a="1"/>
  <c r="AB108" i="2" a="1"/>
  <c r="AB109" i="2" a="1"/>
  <c r="AB110" i="2" a="1"/>
  <c r="AB111" i="2" a="1"/>
  <c r="AB112" i="2" a="1"/>
  <c r="AB113" i="2" a="1"/>
  <c r="AB114" i="2" a="1"/>
  <c r="AB115" i="2" a="1"/>
  <c r="AB116" i="2" a="1"/>
  <c r="AB117" i="2" a="1"/>
  <c r="AB118" i="2" a="1"/>
  <c r="AB119" i="2" a="1"/>
  <c r="AB120" i="2" a="1"/>
  <c r="AB121" i="2" a="1"/>
  <c r="AB122" i="2" a="1"/>
  <c r="AB123" i="2" a="1"/>
  <c r="AB124" i="2" a="1"/>
  <c r="AB125" i="2" a="1"/>
  <c r="AB126" i="2" a="1"/>
  <c r="AB127" i="2" a="1"/>
  <c r="AB128" i="2" a="1"/>
  <c r="AB129" i="2" a="1"/>
  <c r="AB130" i="2" a="1"/>
  <c r="AB131" i="2" a="1"/>
  <c r="AB132" i="2" a="1"/>
  <c r="AB133" i="2" a="1"/>
  <c r="AB134" i="2" a="1"/>
  <c r="AB135" i="2" a="1"/>
  <c r="AB136" i="2" a="1"/>
  <c r="AB137" i="2" a="1"/>
  <c r="AB138" i="2" a="1"/>
  <c r="AB139" i="2" a="1"/>
  <c r="AB140" i="2" a="1"/>
  <c r="AB141" i="2" a="1"/>
  <c r="AB142" i="2" a="1"/>
  <c r="AB143" i="2" a="1"/>
  <c r="AB144" i="2" a="1"/>
  <c r="AB145" i="2" a="1"/>
  <c r="AB146" i="2" a="1"/>
  <c r="AB147" i="2" a="1"/>
  <c r="AB148" i="2" a="1"/>
  <c r="AB149" i="2" a="1"/>
  <c r="AB150" i="2" a="1"/>
  <c r="AB151" i="2" a="1"/>
  <c r="AA3" i="2" a="1"/>
  <c r="AA4" i="2" a="1"/>
  <c r="AA5" i="2" a="1"/>
  <c r="AA6" i="2" a="1"/>
  <c r="AA7" i="2" a="1"/>
  <c r="AA8" i="2" a="1"/>
  <c r="AA9" i="2" a="1"/>
  <c r="AA10" i="2" a="1"/>
  <c r="AA11" i="2" a="1"/>
  <c r="AA12" i="2" a="1"/>
  <c r="AA13" i="2" a="1"/>
  <c r="AA14" i="2" a="1"/>
  <c r="AA15" i="2" a="1"/>
  <c r="AA16" i="2" a="1"/>
  <c r="AA17" i="2" a="1"/>
  <c r="AA18" i="2" a="1"/>
  <c r="AA19" i="2" a="1"/>
  <c r="AA20" i="2" a="1"/>
  <c r="AA21" i="2" a="1"/>
  <c r="AA22" i="2" a="1"/>
  <c r="AA23" i="2" a="1"/>
  <c r="AA24" i="2" a="1"/>
  <c r="AA25" i="2" a="1"/>
  <c r="AA26" i="2" a="1"/>
  <c r="AA27" i="2" a="1"/>
  <c r="AA28" i="2" a="1"/>
  <c r="AA29" i="2" a="1"/>
  <c r="AA30" i="2" a="1"/>
  <c r="AA31" i="2" a="1"/>
  <c r="AA32" i="2" a="1"/>
  <c r="AA33" i="2" a="1"/>
  <c r="AA34" i="2" a="1"/>
  <c r="AA35" i="2" a="1"/>
  <c r="AA36" i="2" a="1"/>
  <c r="AA37" i="2" a="1"/>
  <c r="AA38" i="2" a="1"/>
  <c r="AA39" i="2" a="1"/>
  <c r="AA40" i="2" a="1"/>
  <c r="AA41" i="2" a="1"/>
  <c r="AA42" i="2" a="1"/>
  <c r="AA43" i="2" a="1"/>
  <c r="AA44" i="2" a="1"/>
  <c r="AA45" i="2" a="1"/>
  <c r="AA46" i="2" a="1"/>
  <c r="AA47" i="2" a="1"/>
  <c r="AA48" i="2" a="1"/>
  <c r="AA49" i="2" a="1"/>
  <c r="AA50" i="2" a="1"/>
  <c r="AA51" i="2" a="1"/>
  <c r="AA52" i="2" a="1"/>
  <c r="AA53" i="2" a="1"/>
  <c r="AA54" i="2" a="1"/>
  <c r="AA55" i="2" a="1"/>
  <c r="AA56" i="2" a="1"/>
  <c r="AA57" i="2" a="1"/>
  <c r="AA58" i="2" a="1"/>
  <c r="AA59" i="2" a="1"/>
  <c r="AA60" i="2" a="1"/>
  <c r="AA61" i="2" a="1"/>
  <c r="AA62" i="2" a="1"/>
  <c r="AA63" i="2" a="1"/>
  <c r="AA64" i="2" a="1"/>
  <c r="AA65" i="2" a="1"/>
  <c r="AA66" i="2" a="1"/>
  <c r="AA67" i="2" a="1"/>
  <c r="AA68" i="2" a="1"/>
  <c r="AA69" i="2" a="1"/>
  <c r="AA70" i="2" a="1"/>
  <c r="AA71" i="2" a="1"/>
  <c r="AA72" i="2" a="1"/>
  <c r="AA73" i="2" a="1"/>
  <c r="AA74" i="2" a="1"/>
  <c r="AA75" i="2" a="1"/>
  <c r="AA76" i="2" a="1"/>
  <c r="AA77" i="2" a="1"/>
  <c r="AA78" i="2" a="1"/>
  <c r="AA79" i="2" a="1"/>
  <c r="AA80" i="2" a="1"/>
  <c r="AA81" i="2" a="1"/>
  <c r="AA82" i="2" a="1"/>
  <c r="AA83" i="2" a="1"/>
  <c r="AA84" i="2" a="1"/>
  <c r="AA85" i="2" a="1"/>
  <c r="AA86" i="2" a="1"/>
  <c r="AA87" i="2" a="1"/>
  <c r="AA88" i="2" a="1"/>
  <c r="AA89" i="2" a="1"/>
  <c r="AA90" i="2" a="1"/>
  <c r="AA91" i="2" a="1"/>
  <c r="AA92" i="2" a="1"/>
  <c r="AA93" i="2" a="1"/>
  <c r="AA94" i="2" a="1"/>
  <c r="AA95" i="2" a="1"/>
  <c r="AA96" i="2" a="1"/>
  <c r="AA97" i="2" a="1"/>
  <c r="AA98" i="2" a="1"/>
  <c r="AA99" i="2" a="1"/>
  <c r="AA100" i="2" a="1"/>
  <c r="AA101" i="2" a="1"/>
  <c r="AA102" i="2" a="1"/>
  <c r="AA103" i="2" a="1"/>
  <c r="AA104" i="2" a="1"/>
  <c r="AA105" i="2" a="1"/>
  <c r="AA106" i="2" a="1"/>
  <c r="AA107" i="2" a="1"/>
  <c r="AA108" i="2" a="1"/>
  <c r="AA109" i="2" a="1"/>
  <c r="AA110" i="2" a="1"/>
  <c r="AA111" i="2" a="1"/>
  <c r="AA112" i="2" a="1"/>
  <c r="AA113" i="2" a="1"/>
  <c r="AA114" i="2" a="1"/>
  <c r="AA115" i="2" a="1"/>
  <c r="AA116" i="2" a="1"/>
  <c r="AA117" i="2" a="1"/>
  <c r="AA118" i="2" a="1"/>
  <c r="AA119" i="2" a="1"/>
  <c r="AA120" i="2" a="1"/>
  <c r="AA121" i="2" a="1"/>
  <c r="AA122" i="2" a="1"/>
  <c r="AA123" i="2" a="1"/>
  <c r="AA124" i="2" a="1"/>
  <c r="AA125" i="2" a="1"/>
  <c r="AA126" i="2" a="1"/>
  <c r="AA127" i="2" a="1"/>
  <c r="AA128" i="2" a="1"/>
  <c r="AA129" i="2" a="1"/>
  <c r="AA130" i="2" a="1"/>
  <c r="AA131" i="2" a="1"/>
  <c r="AA132" i="2" a="1"/>
  <c r="AA133" i="2" a="1"/>
  <c r="AA134" i="2" a="1"/>
  <c r="AA135" i="2" a="1"/>
  <c r="AA136" i="2" a="1"/>
  <c r="AA137" i="2" a="1"/>
  <c r="AA138" i="2" a="1"/>
  <c r="AA139" i="2" a="1"/>
  <c r="AA140" i="2" a="1"/>
  <c r="AA141" i="2" a="1"/>
  <c r="AA142" i="2" a="1"/>
  <c r="AA143" i="2" a="1"/>
  <c r="AA144" i="2" a="1"/>
  <c r="AA145" i="2" a="1"/>
  <c r="AA146" i="2" a="1"/>
  <c r="AA147" i="2" a="1"/>
  <c r="AA148" i="2" a="1"/>
  <c r="AA149" i="2" a="1"/>
  <c r="AA150" i="2" a="1"/>
  <c r="AA151" i="2" a="1"/>
  <c r="AA2" i="2" a="1"/>
  <c r="Z3" i="2" a="1"/>
  <c r="Z4" i="2" a="1"/>
  <c r="Z5" i="2" a="1"/>
  <c r="Z6" i="2" a="1"/>
  <c r="Z7" i="2" a="1"/>
  <c r="Z8" i="2" a="1"/>
  <c r="Z9" i="2" a="1"/>
  <c r="Z10" i="2" a="1"/>
  <c r="Z11" i="2" a="1"/>
  <c r="Z12" i="2" a="1"/>
  <c r="Z13" i="2" a="1"/>
  <c r="Z14" i="2" a="1"/>
  <c r="Z15" i="2" a="1"/>
  <c r="Z16" i="2" a="1"/>
  <c r="Z17" i="2" a="1"/>
  <c r="Z18" i="2" a="1"/>
  <c r="Z19" i="2" a="1"/>
  <c r="Z20" i="2" a="1"/>
  <c r="Z21" i="2" a="1"/>
  <c r="Z22" i="2" a="1"/>
  <c r="Z23" i="2" a="1"/>
  <c r="Z24" i="2" a="1"/>
  <c r="Z25" i="2" a="1"/>
  <c r="Z26" i="2" a="1"/>
  <c r="Z27" i="2" a="1"/>
  <c r="Z28" i="2" a="1"/>
  <c r="Z29" i="2" a="1"/>
  <c r="Z30" i="2" a="1"/>
  <c r="Z31" i="2" a="1"/>
  <c r="Z32" i="2" a="1"/>
  <c r="Z33" i="2" a="1"/>
  <c r="Z34" i="2" a="1"/>
  <c r="Z35" i="2" a="1"/>
  <c r="Z36" i="2" a="1"/>
  <c r="Z37" i="2" a="1"/>
  <c r="Z38" i="2" a="1"/>
  <c r="Z39" i="2" a="1"/>
  <c r="Z40" i="2" a="1"/>
  <c r="Z41" i="2" a="1"/>
  <c r="Z42" i="2" a="1"/>
  <c r="Z43" i="2" a="1"/>
  <c r="Z44" i="2" a="1"/>
  <c r="Z45" i="2" a="1"/>
  <c r="Z46" i="2" a="1"/>
  <c r="Z47" i="2" a="1"/>
  <c r="Z48" i="2" a="1"/>
  <c r="Z49" i="2" a="1"/>
  <c r="Z50" i="2" a="1"/>
  <c r="Z51" i="2" a="1"/>
  <c r="Z52" i="2" a="1"/>
  <c r="Z53" i="2" a="1"/>
  <c r="Z54" i="2" a="1"/>
  <c r="Z55" i="2" a="1"/>
  <c r="Z56" i="2" a="1"/>
  <c r="Z57" i="2" a="1"/>
  <c r="Z58" i="2" a="1"/>
  <c r="Z59" i="2" a="1"/>
  <c r="Z60" i="2" a="1"/>
  <c r="Z61" i="2" a="1"/>
  <c r="Z62" i="2" a="1"/>
  <c r="Z63" i="2" a="1"/>
  <c r="Z64" i="2" a="1"/>
  <c r="Z65" i="2" a="1"/>
  <c r="Z66" i="2" a="1"/>
  <c r="Z67" i="2" a="1"/>
  <c r="Z68" i="2" a="1"/>
  <c r="Z69" i="2" a="1"/>
  <c r="Z70" i="2" a="1"/>
  <c r="Z71" i="2" a="1"/>
  <c r="Z72" i="2" a="1"/>
  <c r="Z73" i="2" a="1"/>
  <c r="Z74" i="2" a="1"/>
  <c r="Z75" i="2" a="1"/>
  <c r="Z76" i="2" a="1"/>
  <c r="Z77" i="2" a="1"/>
  <c r="Z78" i="2" a="1"/>
  <c r="Z79" i="2" a="1"/>
  <c r="Z80" i="2" a="1"/>
  <c r="Z81" i="2" a="1"/>
  <c r="Z82" i="2" a="1"/>
  <c r="Z83" i="2" a="1"/>
  <c r="Z84" i="2" a="1"/>
  <c r="Z85" i="2" a="1"/>
  <c r="Z86" i="2" a="1"/>
  <c r="Z87" i="2" a="1"/>
  <c r="Z88" i="2" a="1"/>
  <c r="Z89" i="2" a="1"/>
  <c r="Z90" i="2" a="1"/>
  <c r="Z91" i="2" a="1"/>
  <c r="Z92" i="2" a="1"/>
  <c r="Z93" i="2" a="1"/>
  <c r="Z94" i="2" a="1"/>
  <c r="Z95" i="2" a="1"/>
  <c r="Z96" i="2" a="1"/>
  <c r="Z97" i="2" a="1"/>
  <c r="Z98" i="2" a="1"/>
  <c r="Z99" i="2" a="1"/>
  <c r="Z100" i="2" a="1"/>
  <c r="Z101" i="2" a="1"/>
  <c r="Z102" i="2" a="1"/>
  <c r="Z103" i="2" a="1"/>
  <c r="Z104" i="2" a="1"/>
  <c r="Z105" i="2" a="1"/>
  <c r="Z106" i="2" a="1"/>
  <c r="Z107" i="2" a="1"/>
  <c r="Z108" i="2" a="1"/>
  <c r="Z109" i="2" a="1"/>
  <c r="Z110" i="2" a="1"/>
  <c r="Z111" i="2" a="1"/>
  <c r="Z112" i="2" a="1"/>
  <c r="Z113" i="2" a="1"/>
  <c r="Z114" i="2" a="1"/>
  <c r="Z115" i="2" a="1"/>
  <c r="Z116" i="2" a="1"/>
  <c r="Z117" i="2" a="1"/>
  <c r="Z118" i="2" a="1"/>
  <c r="Z119" i="2" a="1"/>
  <c r="Z120" i="2" a="1"/>
  <c r="Z121" i="2" a="1"/>
  <c r="Z122" i="2" a="1"/>
  <c r="Z123" i="2" a="1"/>
  <c r="Z124" i="2" a="1"/>
  <c r="Z125" i="2" a="1"/>
  <c r="Z126" i="2" a="1"/>
  <c r="Z127" i="2" a="1"/>
  <c r="Z128" i="2" a="1"/>
  <c r="Z129" i="2" a="1"/>
  <c r="Z130" i="2" a="1"/>
  <c r="Z131" i="2" a="1"/>
  <c r="Z132" i="2" a="1"/>
  <c r="Z133" i="2" a="1"/>
  <c r="Z134" i="2" a="1"/>
  <c r="Z135" i="2" a="1"/>
  <c r="Z136" i="2" a="1"/>
  <c r="Z137" i="2" a="1"/>
  <c r="Z138" i="2" a="1"/>
  <c r="Z139" i="2" a="1"/>
  <c r="Z140" i="2" a="1"/>
  <c r="Z141" i="2" a="1"/>
  <c r="Z142" i="2" a="1"/>
  <c r="Z143" i="2" a="1"/>
  <c r="Z144" i="2" a="1"/>
  <c r="Z145" i="2" a="1"/>
  <c r="Z146" i="2" a="1"/>
  <c r="Z147" i="2" a="1"/>
  <c r="Z148" i="2" a="1"/>
  <c r="Z149" i="2" a="1"/>
  <c r="Z150" i="2" a="1"/>
  <c r="Z151" i="2" a="1"/>
  <c r="Z2" i="2" a="1"/>
  <c r="Y3" i="2" a="1"/>
  <c r="Y4" i="2" a="1"/>
  <c r="Y5" i="2" a="1"/>
  <c r="Y6" i="2" a="1"/>
  <c r="Y7" i="2" a="1"/>
  <c r="Y8" i="2" a="1"/>
  <c r="Y9" i="2" a="1"/>
  <c r="Y10" i="2" a="1"/>
  <c r="Y11" i="2" a="1"/>
  <c r="Y12" i="2" a="1"/>
  <c r="Y13" i="2" a="1"/>
  <c r="Y14" i="2" a="1"/>
  <c r="Y15" i="2" a="1"/>
  <c r="Y16" i="2" a="1"/>
  <c r="Y17" i="2" a="1"/>
  <c r="Y18" i="2" a="1"/>
  <c r="Y19" i="2" a="1"/>
  <c r="Y20" i="2" a="1"/>
  <c r="Y21" i="2" a="1"/>
  <c r="Y22" i="2" a="1"/>
  <c r="Y23" i="2" a="1"/>
  <c r="Y24" i="2" a="1"/>
  <c r="Y25" i="2" a="1"/>
  <c r="Y26" i="2" a="1"/>
  <c r="Y27" i="2" a="1"/>
  <c r="Y28" i="2" a="1"/>
  <c r="Y29" i="2" a="1"/>
  <c r="Y30" i="2" a="1"/>
  <c r="Y31" i="2" a="1"/>
  <c r="Y32" i="2" a="1"/>
  <c r="Y33" i="2" a="1"/>
  <c r="Y34" i="2" a="1"/>
  <c r="Y35" i="2" a="1"/>
  <c r="Y36" i="2" a="1"/>
  <c r="Y37" i="2" a="1"/>
  <c r="Y38" i="2" a="1"/>
  <c r="Y39" i="2" a="1"/>
  <c r="Y40" i="2" a="1"/>
  <c r="Y41" i="2" a="1"/>
  <c r="Y42" i="2" a="1"/>
  <c r="Y43" i="2" a="1"/>
  <c r="Y44" i="2" a="1"/>
  <c r="Y45" i="2" a="1"/>
  <c r="Y46" i="2" a="1"/>
  <c r="Y47" i="2" a="1"/>
  <c r="Y48" i="2" a="1"/>
  <c r="Y49" i="2" a="1"/>
  <c r="Y50" i="2" a="1"/>
  <c r="Y51" i="2" a="1"/>
  <c r="Y52" i="2" a="1"/>
  <c r="Y53" i="2" a="1"/>
  <c r="Y54" i="2" a="1"/>
  <c r="Y55" i="2" a="1"/>
  <c r="Y56" i="2" a="1"/>
  <c r="Y57" i="2" a="1"/>
  <c r="Y58" i="2" a="1"/>
  <c r="Y59" i="2" a="1"/>
  <c r="Y60" i="2" a="1"/>
  <c r="Y61" i="2" a="1"/>
  <c r="Y62" i="2" a="1"/>
  <c r="Y63" i="2" a="1"/>
  <c r="Y64" i="2" a="1"/>
  <c r="Y65" i="2" a="1"/>
  <c r="Y66" i="2" a="1"/>
  <c r="Y67" i="2" a="1"/>
  <c r="Y68" i="2" a="1"/>
  <c r="Y69" i="2" a="1"/>
  <c r="Y70" i="2" a="1"/>
  <c r="Y71" i="2" a="1"/>
  <c r="Y72" i="2" a="1"/>
  <c r="Y73" i="2" a="1"/>
  <c r="Y74" i="2" a="1"/>
  <c r="Y75" i="2" a="1"/>
  <c r="Y76" i="2" a="1"/>
  <c r="Y77" i="2" a="1"/>
  <c r="Y78" i="2" a="1"/>
  <c r="Y79" i="2" a="1"/>
  <c r="Y80" i="2" a="1"/>
  <c r="Y81" i="2" a="1"/>
  <c r="Y82" i="2" a="1"/>
  <c r="Y83" i="2" a="1"/>
  <c r="Y84" i="2" a="1"/>
  <c r="Y85" i="2" a="1"/>
  <c r="Y86" i="2" a="1"/>
  <c r="Y87" i="2" a="1"/>
  <c r="Y88" i="2" a="1"/>
  <c r="Y89" i="2" a="1"/>
  <c r="Y90" i="2" a="1"/>
  <c r="Y91" i="2" a="1"/>
  <c r="Y92" i="2" a="1"/>
  <c r="Y93" i="2" a="1"/>
  <c r="Y94" i="2" a="1"/>
  <c r="Y95" i="2" a="1"/>
  <c r="Y96" i="2" a="1"/>
  <c r="Y97" i="2" a="1"/>
  <c r="Y98" i="2" a="1"/>
  <c r="Y99" i="2" a="1"/>
  <c r="Y100" i="2" a="1"/>
  <c r="Y101" i="2" a="1"/>
  <c r="Y102" i="2" a="1"/>
  <c r="Y103" i="2" a="1"/>
  <c r="Y104" i="2" a="1"/>
  <c r="Y105" i="2" a="1"/>
  <c r="Y106" i="2" a="1"/>
  <c r="Y107" i="2" a="1"/>
  <c r="Y108" i="2" a="1"/>
  <c r="Y109" i="2" a="1"/>
  <c r="Y110" i="2" a="1"/>
  <c r="Y111" i="2" a="1"/>
  <c r="Y112" i="2" a="1"/>
  <c r="Y113" i="2" a="1"/>
  <c r="Y114" i="2" a="1"/>
  <c r="Y115" i="2" a="1"/>
  <c r="Y116" i="2" a="1"/>
  <c r="Y117" i="2" a="1"/>
  <c r="Y118" i="2" a="1"/>
  <c r="Y119" i="2" a="1"/>
  <c r="Y120" i="2" a="1"/>
  <c r="Y121" i="2" a="1"/>
  <c r="Y122" i="2" a="1"/>
  <c r="Y123" i="2" a="1"/>
  <c r="Y124" i="2" a="1"/>
  <c r="Y125" i="2" a="1"/>
  <c r="Y126" i="2" a="1"/>
  <c r="Y127" i="2" a="1"/>
  <c r="Y128" i="2" a="1"/>
  <c r="Y129" i="2" a="1"/>
  <c r="Y130" i="2" a="1"/>
  <c r="Y131" i="2" a="1"/>
  <c r="Y132" i="2" a="1"/>
  <c r="Y133" i="2" a="1"/>
  <c r="Y134" i="2" a="1"/>
  <c r="Y135" i="2" a="1"/>
  <c r="Y136" i="2" a="1"/>
  <c r="Y137" i="2" a="1"/>
  <c r="Y138" i="2" a="1"/>
  <c r="Y139" i="2" a="1"/>
  <c r="Y140" i="2" a="1"/>
  <c r="Y141" i="2" a="1"/>
  <c r="Y142" i="2" a="1"/>
  <c r="Y143" i="2" a="1"/>
  <c r="Y144" i="2" a="1"/>
  <c r="Y145" i="2" a="1"/>
  <c r="Y146" i="2" a="1"/>
  <c r="Y147" i="2" a="1"/>
  <c r="Y148" i="2" a="1"/>
  <c r="Y149" i="2" a="1"/>
  <c r="Y150" i="2" a="1"/>
  <c r="Y151" i="2" a="1"/>
  <c r="Y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2" i="2" a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2" i="2"/>
  <c r="V2" i="2" a="1"/>
  <c r="V3" i="2" a="1"/>
  <c r="V4" i="2" a="1"/>
  <c r="V5" i="2" a="1"/>
  <c r="V6" i="2" a="1"/>
  <c r="V7" i="2" a="1"/>
  <c r="V8" i="2" a="1"/>
  <c r="V9" i="2" a="1"/>
  <c r="V10" i="2" a="1"/>
  <c r="V11" i="2" a="1"/>
  <c r="V12" i="2" a="1"/>
  <c r="V13" i="2" a="1"/>
  <c r="V14" i="2" a="1"/>
  <c r="V15" i="2" a="1"/>
  <c r="V16" i="2" a="1"/>
  <c r="V17" i="2" a="1"/>
  <c r="V18" i="2" a="1"/>
  <c r="V19" i="2" a="1"/>
  <c r="V20" i="2" a="1"/>
  <c r="V21" i="2" a="1"/>
  <c r="V22" i="2" a="1"/>
  <c r="V23" i="2" a="1"/>
  <c r="V24" i="2" a="1"/>
  <c r="V25" i="2" a="1"/>
  <c r="V26" i="2" a="1"/>
  <c r="V27" i="2" a="1"/>
  <c r="V28" i="2" a="1"/>
  <c r="V29" i="2" a="1"/>
  <c r="V30" i="2" a="1"/>
  <c r="V31" i="2" a="1"/>
  <c r="V32" i="2" a="1"/>
  <c r="V33" i="2" a="1"/>
  <c r="V34" i="2" a="1"/>
  <c r="V35" i="2" a="1"/>
  <c r="V36" i="2" a="1"/>
  <c r="V37" i="2" a="1"/>
  <c r="V38" i="2" a="1"/>
  <c r="V39" i="2" a="1"/>
  <c r="V40" i="2" a="1"/>
  <c r="V41" i="2" a="1"/>
  <c r="V42" i="2" a="1"/>
  <c r="V43" i="2" a="1"/>
  <c r="V44" i="2" a="1"/>
  <c r="V45" i="2" a="1"/>
  <c r="V46" i="2" a="1"/>
  <c r="V47" i="2" a="1"/>
  <c r="V48" i="2" a="1"/>
  <c r="V49" i="2" a="1"/>
  <c r="V50" i="2" a="1"/>
  <c r="V51" i="2" a="1"/>
  <c r="V52" i="2" a="1"/>
  <c r="V53" i="2" a="1"/>
  <c r="V54" i="2" a="1"/>
  <c r="V55" i="2" a="1"/>
  <c r="V56" i="2" a="1"/>
  <c r="V57" i="2" a="1"/>
  <c r="V58" i="2" a="1"/>
  <c r="V59" i="2" a="1"/>
  <c r="V60" i="2" a="1"/>
  <c r="V61" i="2" a="1"/>
  <c r="V62" i="2" a="1"/>
  <c r="V63" i="2" a="1"/>
  <c r="V64" i="2" a="1"/>
  <c r="V65" i="2" a="1"/>
  <c r="V66" i="2" a="1"/>
  <c r="V67" i="2" a="1"/>
  <c r="V68" i="2" a="1"/>
  <c r="V69" i="2" a="1"/>
  <c r="V70" i="2" a="1"/>
  <c r="V71" i="2" a="1"/>
  <c r="V72" i="2" a="1"/>
  <c r="V73" i="2" a="1"/>
  <c r="V74" i="2" a="1"/>
  <c r="V75" i="2" a="1"/>
  <c r="V76" i="2" a="1"/>
  <c r="V77" i="2" a="1"/>
  <c r="V78" i="2" a="1"/>
  <c r="V79" i="2" a="1"/>
  <c r="V80" i="2" a="1"/>
  <c r="V81" i="2" a="1"/>
  <c r="V82" i="2" a="1"/>
  <c r="V83" i="2" a="1"/>
  <c r="V84" i="2" a="1"/>
  <c r="V85" i="2" a="1"/>
  <c r="V86" i="2" a="1"/>
  <c r="V87" i="2" a="1"/>
  <c r="V88" i="2" a="1"/>
  <c r="V89" i="2" a="1"/>
  <c r="V90" i="2" a="1"/>
  <c r="V91" i="2" a="1"/>
  <c r="V92" i="2" a="1"/>
  <c r="V93" i="2" a="1"/>
  <c r="V94" i="2" a="1"/>
  <c r="V95" i="2" a="1"/>
  <c r="V96" i="2" a="1"/>
  <c r="V97" i="2" a="1"/>
  <c r="V98" i="2" a="1"/>
  <c r="V99" i="2" a="1"/>
  <c r="V100" i="2" a="1"/>
  <c r="V101" i="2" a="1"/>
  <c r="V102" i="2" a="1"/>
  <c r="V103" i="2" a="1"/>
  <c r="V104" i="2" a="1"/>
  <c r="V105" i="2" a="1"/>
  <c r="V106" i="2" a="1"/>
  <c r="V107" i="2" a="1"/>
  <c r="V108" i="2" a="1"/>
  <c r="V109" i="2" a="1"/>
  <c r="V110" i="2" a="1"/>
  <c r="V111" i="2" a="1"/>
  <c r="V112" i="2" a="1"/>
  <c r="V113" i="2" a="1"/>
  <c r="V114" i="2" a="1"/>
  <c r="V115" i="2" a="1"/>
  <c r="V116" i="2" a="1"/>
  <c r="V117" i="2" a="1"/>
  <c r="V118" i="2" a="1"/>
  <c r="V119" i="2" a="1"/>
  <c r="V120" i="2" a="1"/>
  <c r="V121" i="2" a="1"/>
  <c r="V122" i="2" a="1"/>
  <c r="V123" i="2" a="1"/>
  <c r="V124" i="2" a="1"/>
  <c r="V125" i="2" a="1"/>
  <c r="V126" i="2" a="1"/>
  <c r="V127" i="2" a="1"/>
  <c r="V128" i="2" a="1"/>
  <c r="V129" i="2" a="1"/>
  <c r="V130" i="2" a="1"/>
  <c r="V131" i="2" a="1"/>
  <c r="V132" i="2" a="1"/>
  <c r="V133" i="2" a="1"/>
  <c r="V134" i="2" a="1"/>
  <c r="V135" i="2" a="1"/>
  <c r="V136" i="2" a="1"/>
  <c r="V137" i="2" a="1"/>
  <c r="V138" i="2" a="1"/>
  <c r="V139" i="2" a="1"/>
  <c r="V140" i="2" a="1"/>
  <c r="V141" i="2" a="1"/>
  <c r="V142" i="2" a="1"/>
  <c r="V143" i="2" a="1"/>
  <c r="V144" i="2" a="1"/>
  <c r="V145" i="2" a="1"/>
  <c r="V146" i="2" a="1"/>
  <c r="V147" i="2" a="1"/>
  <c r="V148" i="2" a="1"/>
  <c r="V149" i="2" a="1"/>
  <c r="V150" i="2" a="1"/>
  <c r="V151" i="2" a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2" i="2"/>
  <c r="Q3" i="2" a="1"/>
  <c r="Q4" i="2" a="1"/>
  <c r="Q5" i="2" a="1"/>
  <c r="Q6" i="2" a="1"/>
  <c r="Q7" i="2" a="1"/>
  <c r="Q8" i="2" a="1"/>
  <c r="Q9" i="2" a="1"/>
  <c r="Q10" i="2" a="1"/>
  <c r="Q11" i="2" a="1"/>
  <c r="Q12" i="2" a="1"/>
  <c r="Q13" i="2" a="1"/>
  <c r="Q14" i="2" a="1"/>
  <c r="Q15" i="2" a="1"/>
  <c r="Q16" i="2" a="1"/>
  <c r="Q17" i="2" a="1"/>
  <c r="Q18" i="2" a="1"/>
  <c r="Q19" i="2" a="1"/>
  <c r="Q20" i="2" a="1"/>
  <c r="Q21" i="2" a="1"/>
  <c r="Q22" i="2" a="1"/>
  <c r="Q23" i="2" a="1"/>
  <c r="Q24" i="2" a="1"/>
  <c r="Q25" i="2" a="1"/>
  <c r="Q26" i="2" a="1"/>
  <c r="Q27" i="2" a="1"/>
  <c r="Q28" i="2" a="1"/>
  <c r="Q29" i="2" a="1"/>
  <c r="Q30" i="2" a="1"/>
  <c r="Q31" i="2" a="1"/>
  <c r="Q32" i="2" a="1"/>
  <c r="Q33" i="2" a="1"/>
  <c r="Q34" i="2" a="1"/>
  <c r="Q35" i="2" a="1"/>
  <c r="Q36" i="2" a="1"/>
  <c r="Q37" i="2" a="1"/>
  <c r="Q38" i="2" a="1"/>
  <c r="Q39" i="2" a="1"/>
  <c r="Q40" i="2" a="1"/>
  <c r="Q41" i="2" a="1"/>
  <c r="Q42" i="2" a="1"/>
  <c r="Q43" i="2" a="1"/>
  <c r="Q44" i="2" a="1"/>
  <c r="Q45" i="2" a="1"/>
  <c r="Q46" i="2" a="1"/>
  <c r="Q47" i="2" a="1"/>
  <c r="Q48" i="2" a="1"/>
  <c r="Q49" i="2" a="1"/>
  <c r="Q50" i="2" a="1"/>
  <c r="Q51" i="2" a="1"/>
  <c r="Q52" i="2" a="1"/>
  <c r="Q53" i="2" a="1"/>
  <c r="Q54" i="2" a="1"/>
  <c r="Q55" i="2" a="1"/>
  <c r="Q56" i="2" a="1"/>
  <c r="Q57" i="2" a="1"/>
  <c r="Q58" i="2" a="1"/>
  <c r="Q59" i="2" a="1"/>
  <c r="Q60" i="2" a="1"/>
  <c r="Q61" i="2" a="1"/>
  <c r="Q62" i="2" a="1"/>
  <c r="Q63" i="2" a="1"/>
  <c r="Q64" i="2" a="1"/>
  <c r="Q65" i="2" a="1"/>
  <c r="Q66" i="2" a="1"/>
  <c r="Q67" i="2" a="1"/>
  <c r="Q68" i="2" a="1"/>
  <c r="Q69" i="2" a="1"/>
  <c r="Q70" i="2" a="1"/>
  <c r="Q71" i="2" a="1"/>
  <c r="Q72" i="2" a="1"/>
  <c r="Q73" i="2" a="1"/>
  <c r="Q74" i="2" a="1"/>
  <c r="Q75" i="2" a="1"/>
  <c r="Q76" i="2" a="1"/>
  <c r="Q77" i="2" a="1"/>
  <c r="Q78" i="2" a="1"/>
  <c r="Q79" i="2" a="1"/>
  <c r="Q80" i="2" a="1"/>
  <c r="Q81" i="2" a="1"/>
  <c r="Q82" i="2" a="1"/>
  <c r="Q83" i="2" a="1"/>
  <c r="Q84" i="2" a="1"/>
  <c r="Q85" i="2" a="1"/>
  <c r="Q86" i="2" a="1"/>
  <c r="Q87" i="2" a="1"/>
  <c r="Q88" i="2" a="1"/>
  <c r="Q89" i="2" a="1"/>
  <c r="Q90" i="2" a="1"/>
  <c r="Q91" i="2" a="1"/>
  <c r="Q92" i="2" a="1"/>
  <c r="Q93" i="2" a="1"/>
  <c r="Q94" i="2" a="1"/>
  <c r="Q95" i="2" a="1"/>
  <c r="Q96" i="2" a="1"/>
  <c r="Q97" i="2" a="1"/>
  <c r="Q98" i="2" a="1"/>
  <c r="Q99" i="2" a="1"/>
  <c r="Q100" i="2" a="1"/>
  <c r="Q101" i="2" a="1"/>
  <c r="Q102" i="2" a="1"/>
  <c r="Q103" i="2" a="1"/>
  <c r="Q104" i="2" a="1"/>
  <c r="Q105" i="2" a="1"/>
  <c r="Q106" i="2" a="1"/>
  <c r="Q107" i="2" a="1"/>
  <c r="Q108" i="2" a="1"/>
  <c r="Q109" i="2" a="1"/>
  <c r="Q110" i="2" a="1"/>
  <c r="Q111" i="2" a="1"/>
  <c r="Q112" i="2" a="1"/>
  <c r="Q113" i="2" a="1"/>
  <c r="Q114" i="2" a="1"/>
  <c r="Q115" i="2" a="1"/>
  <c r="Q116" i="2" a="1"/>
  <c r="Q117" i="2" a="1"/>
  <c r="Q118" i="2" a="1"/>
  <c r="Q119" i="2" a="1"/>
  <c r="Q120" i="2" a="1"/>
  <c r="Q121" i="2" a="1"/>
  <c r="Q122" i="2" a="1"/>
  <c r="Q123" i="2" a="1"/>
  <c r="Q124" i="2" a="1"/>
  <c r="Q125" i="2" a="1"/>
  <c r="Q126" i="2" a="1"/>
  <c r="Q127" i="2" a="1"/>
  <c r="Q128" i="2" a="1"/>
  <c r="Q129" i="2" a="1"/>
  <c r="Q130" i="2" a="1"/>
  <c r="Q131" i="2" a="1"/>
  <c r="Q132" i="2" a="1"/>
  <c r="Q133" i="2" a="1"/>
  <c r="Q134" i="2" a="1"/>
  <c r="Q135" i="2" a="1"/>
  <c r="Q136" i="2" a="1"/>
  <c r="Q137" i="2" a="1"/>
  <c r="Q138" i="2" a="1"/>
  <c r="Q139" i="2" a="1"/>
  <c r="Q140" i="2" a="1"/>
  <c r="Q141" i="2" a="1"/>
  <c r="Q142" i="2" a="1"/>
  <c r="Q143" i="2" a="1"/>
  <c r="Q144" i="2" a="1"/>
  <c r="Q145" i="2" a="1"/>
  <c r="Q146" i="2" a="1"/>
  <c r="Q147" i="2" a="1"/>
  <c r="Q148" i="2" a="1"/>
  <c r="Q149" i="2" a="1"/>
  <c r="Q150" i="2" a="1"/>
  <c r="Q151" i="2" a="1"/>
  <c r="Q2" i="2" a="1"/>
  <c r="P3" i="2" a="1"/>
  <c r="P4" i="2" a="1"/>
  <c r="P5" i="2" a="1"/>
  <c r="P6" i="2" a="1"/>
  <c r="P7" i="2" a="1"/>
  <c r="P8" i="2" a="1"/>
  <c r="P9" i="2" a="1"/>
  <c r="P10" i="2" a="1"/>
  <c r="P11" i="2" a="1"/>
  <c r="P12" i="2" a="1"/>
  <c r="P13" i="2" a="1"/>
  <c r="P14" i="2" a="1"/>
  <c r="P15" i="2" a="1"/>
  <c r="P16" i="2" a="1"/>
  <c r="P17" i="2" a="1"/>
  <c r="P18" i="2" a="1"/>
  <c r="P19" i="2" a="1"/>
  <c r="P20" i="2" a="1"/>
  <c r="P21" i="2" a="1"/>
  <c r="P22" i="2" a="1"/>
  <c r="P23" i="2" a="1"/>
  <c r="P24" i="2" a="1"/>
  <c r="P25" i="2" a="1"/>
  <c r="P26" i="2" a="1"/>
  <c r="P27" i="2" a="1"/>
  <c r="P28" i="2" a="1"/>
  <c r="P29" i="2" a="1"/>
  <c r="P30" i="2" a="1"/>
  <c r="P31" i="2" a="1"/>
  <c r="P32" i="2" a="1"/>
  <c r="P33" i="2" a="1"/>
  <c r="P34" i="2" a="1"/>
  <c r="P35" i="2" a="1"/>
  <c r="P36" i="2" a="1"/>
  <c r="P37" i="2" a="1"/>
  <c r="P38" i="2" a="1"/>
  <c r="P39" i="2" a="1"/>
  <c r="P40" i="2" a="1"/>
  <c r="P41" i="2" a="1"/>
  <c r="P42" i="2" a="1"/>
  <c r="P43" i="2" a="1"/>
  <c r="P44" i="2" a="1"/>
  <c r="P45" i="2" a="1"/>
  <c r="P46" i="2" a="1"/>
  <c r="P47" i="2" a="1"/>
  <c r="P48" i="2" a="1"/>
  <c r="P49" i="2" a="1"/>
  <c r="P50" i="2" a="1"/>
  <c r="P51" i="2" a="1"/>
  <c r="P52" i="2" a="1"/>
  <c r="P53" i="2" a="1"/>
  <c r="P54" i="2" a="1"/>
  <c r="P55" i="2" a="1"/>
  <c r="P56" i="2" a="1"/>
  <c r="P57" i="2" a="1"/>
  <c r="P58" i="2" a="1"/>
  <c r="P59" i="2" a="1"/>
  <c r="P60" i="2" a="1"/>
  <c r="P61" i="2" a="1"/>
  <c r="P62" i="2" a="1"/>
  <c r="P63" i="2" a="1"/>
  <c r="P64" i="2" a="1"/>
  <c r="P65" i="2" a="1"/>
  <c r="P66" i="2" a="1"/>
  <c r="P67" i="2" a="1"/>
  <c r="P68" i="2" a="1"/>
  <c r="P69" i="2" a="1"/>
  <c r="P70" i="2" a="1"/>
  <c r="P71" i="2" a="1"/>
  <c r="P72" i="2" a="1"/>
  <c r="P73" i="2" a="1"/>
  <c r="P74" i="2" a="1"/>
  <c r="P75" i="2" a="1"/>
  <c r="P76" i="2" a="1"/>
  <c r="P77" i="2" a="1"/>
  <c r="P78" i="2" a="1"/>
  <c r="P79" i="2" a="1"/>
  <c r="P80" i="2" a="1"/>
  <c r="P81" i="2" a="1"/>
  <c r="P82" i="2" a="1"/>
  <c r="P83" i="2" a="1"/>
  <c r="P84" i="2" a="1"/>
  <c r="P85" i="2" a="1"/>
  <c r="P86" i="2" a="1"/>
  <c r="P87" i="2" a="1"/>
  <c r="P88" i="2" a="1"/>
  <c r="P89" i="2" a="1"/>
  <c r="P90" i="2" a="1"/>
  <c r="P91" i="2" a="1"/>
  <c r="P92" i="2" a="1"/>
  <c r="P93" i="2" a="1"/>
  <c r="P94" i="2" a="1"/>
  <c r="P95" i="2" a="1"/>
  <c r="P96" i="2" a="1"/>
  <c r="P97" i="2" a="1"/>
  <c r="P98" i="2" a="1"/>
  <c r="P99" i="2" a="1"/>
  <c r="P100" i="2" a="1"/>
  <c r="P101" i="2" a="1"/>
  <c r="P102" i="2" a="1"/>
  <c r="P103" i="2" a="1"/>
  <c r="P104" i="2" a="1"/>
  <c r="P105" i="2" a="1"/>
  <c r="P106" i="2" a="1"/>
  <c r="P107" i="2" a="1"/>
  <c r="P108" i="2" a="1"/>
  <c r="P109" i="2" a="1"/>
  <c r="P110" i="2" a="1"/>
  <c r="P111" i="2" a="1"/>
  <c r="P112" i="2" a="1"/>
  <c r="P113" i="2" a="1"/>
  <c r="P114" i="2" a="1"/>
  <c r="P115" i="2" a="1"/>
  <c r="P116" i="2" a="1"/>
  <c r="P117" i="2" a="1"/>
  <c r="P118" i="2" a="1"/>
  <c r="P119" i="2" a="1"/>
  <c r="P120" i="2" a="1"/>
  <c r="P121" i="2" a="1"/>
  <c r="P122" i="2" a="1"/>
  <c r="P123" i="2" a="1"/>
  <c r="P124" i="2" a="1"/>
  <c r="P125" i="2" a="1"/>
  <c r="P126" i="2" a="1"/>
  <c r="P127" i="2" a="1"/>
  <c r="P128" i="2" a="1"/>
  <c r="P129" i="2" a="1"/>
  <c r="P130" i="2" a="1"/>
  <c r="P131" i="2" a="1"/>
  <c r="P132" i="2" a="1"/>
  <c r="P133" i="2" a="1"/>
  <c r="P134" i="2" a="1"/>
  <c r="P135" i="2" a="1"/>
  <c r="P136" i="2" a="1"/>
  <c r="P137" i="2" a="1"/>
  <c r="P138" i="2" a="1"/>
  <c r="P139" i="2" a="1"/>
  <c r="P140" i="2" a="1"/>
  <c r="P141" i="2" a="1"/>
  <c r="P142" i="2" a="1"/>
  <c r="P143" i="2" a="1"/>
  <c r="P144" i="2" a="1"/>
  <c r="P145" i="2" a="1"/>
  <c r="P146" i="2" a="1"/>
  <c r="P147" i="2" a="1"/>
  <c r="P148" i="2" a="1"/>
  <c r="P149" i="2" a="1"/>
  <c r="P150" i="2" a="1"/>
  <c r="P151" i="2" a="1"/>
  <c r="P2" i="2" a="1"/>
  <c r="O3" i="2" a="1"/>
  <c r="O4" i="2" a="1"/>
  <c r="O5" i="2" a="1"/>
  <c r="O6" i="2" a="1"/>
  <c r="O7" i="2" a="1"/>
  <c r="O8" i="2" a="1"/>
  <c r="O9" i="2" a="1"/>
  <c r="O10" i="2" a="1"/>
  <c r="O11" i="2" a="1"/>
  <c r="O12" i="2" a="1"/>
  <c r="O13" i="2" a="1"/>
  <c r="O14" i="2" a="1"/>
  <c r="O15" i="2" a="1"/>
  <c r="O16" i="2" a="1"/>
  <c r="O17" i="2" a="1"/>
  <c r="O18" i="2" a="1"/>
  <c r="O19" i="2" a="1"/>
  <c r="O20" i="2" a="1"/>
  <c r="O21" i="2" a="1"/>
  <c r="O22" i="2" a="1"/>
  <c r="O23" i="2" a="1"/>
  <c r="O24" i="2" a="1"/>
  <c r="O25" i="2" a="1"/>
  <c r="O26" i="2" a="1"/>
  <c r="O27" i="2" a="1"/>
  <c r="O28" i="2" a="1"/>
  <c r="O29" i="2" a="1"/>
  <c r="O30" i="2" a="1"/>
  <c r="O31" i="2" a="1"/>
  <c r="O32" i="2" a="1"/>
  <c r="O33" i="2" a="1"/>
  <c r="O34" i="2" a="1"/>
  <c r="O35" i="2" a="1"/>
  <c r="O36" i="2" a="1"/>
  <c r="O37" i="2" a="1"/>
  <c r="O38" i="2" a="1"/>
  <c r="O39" i="2" a="1"/>
  <c r="O40" i="2" a="1"/>
  <c r="O41" i="2" a="1"/>
  <c r="O42" i="2" a="1"/>
  <c r="O43" i="2" a="1"/>
  <c r="O44" i="2" a="1"/>
  <c r="O45" i="2" a="1"/>
  <c r="O46" i="2" a="1"/>
  <c r="O47" i="2" a="1"/>
  <c r="O48" i="2" a="1"/>
  <c r="O49" i="2" a="1"/>
  <c r="O50" i="2" a="1"/>
  <c r="O51" i="2" a="1"/>
  <c r="O52" i="2" a="1"/>
  <c r="O53" i="2" a="1"/>
  <c r="O54" i="2" a="1"/>
  <c r="O55" i="2" a="1"/>
  <c r="O56" i="2" a="1"/>
  <c r="O57" i="2" a="1"/>
  <c r="O58" i="2" a="1"/>
  <c r="O59" i="2" a="1"/>
  <c r="O60" i="2" a="1"/>
  <c r="O61" i="2" a="1"/>
  <c r="O62" i="2" a="1"/>
  <c r="O63" i="2" a="1"/>
  <c r="O64" i="2" a="1"/>
  <c r="O65" i="2" a="1"/>
  <c r="O66" i="2" a="1"/>
  <c r="O67" i="2" a="1"/>
  <c r="O68" i="2" a="1"/>
  <c r="O69" i="2" a="1"/>
  <c r="O70" i="2" a="1"/>
  <c r="O71" i="2" a="1"/>
  <c r="O72" i="2" a="1"/>
  <c r="O73" i="2" a="1"/>
  <c r="O74" i="2" a="1"/>
  <c r="O75" i="2" a="1"/>
  <c r="O76" i="2" a="1"/>
  <c r="O77" i="2" a="1"/>
  <c r="O78" i="2" a="1"/>
  <c r="O79" i="2" a="1"/>
  <c r="O80" i="2" a="1"/>
  <c r="O81" i="2" a="1"/>
  <c r="O82" i="2" a="1"/>
  <c r="O83" i="2" a="1"/>
  <c r="O84" i="2" a="1"/>
  <c r="O85" i="2" a="1"/>
  <c r="O86" i="2" a="1"/>
  <c r="O87" i="2" a="1"/>
  <c r="O88" i="2" a="1"/>
  <c r="O89" i="2" a="1"/>
  <c r="O90" i="2" a="1"/>
  <c r="O91" i="2" a="1"/>
  <c r="O92" i="2" a="1"/>
  <c r="O93" i="2" a="1"/>
  <c r="O94" i="2" a="1"/>
  <c r="O95" i="2" a="1"/>
  <c r="O96" i="2" a="1"/>
  <c r="O97" i="2" a="1"/>
  <c r="O98" i="2" a="1"/>
  <c r="O99" i="2" a="1"/>
  <c r="O100" i="2" a="1"/>
  <c r="O101" i="2" a="1"/>
  <c r="O102" i="2" a="1"/>
  <c r="O103" i="2" a="1"/>
  <c r="O104" i="2" a="1"/>
  <c r="O105" i="2" a="1"/>
  <c r="O106" i="2" a="1"/>
  <c r="O107" i="2" a="1"/>
  <c r="O108" i="2" a="1"/>
  <c r="O109" i="2" a="1"/>
  <c r="O110" i="2" a="1"/>
  <c r="O111" i="2" a="1"/>
  <c r="O112" i="2" a="1"/>
  <c r="O113" i="2" a="1"/>
  <c r="O114" i="2" a="1"/>
  <c r="O115" i="2" a="1"/>
  <c r="O116" i="2" a="1"/>
  <c r="O117" i="2" a="1"/>
  <c r="O118" i="2" a="1"/>
  <c r="O119" i="2" a="1"/>
  <c r="O120" i="2" a="1"/>
  <c r="O121" i="2" a="1"/>
  <c r="O122" i="2" a="1"/>
  <c r="O123" i="2" a="1"/>
  <c r="O124" i="2" a="1"/>
  <c r="O125" i="2" a="1"/>
  <c r="O126" i="2" a="1"/>
  <c r="O127" i="2" a="1"/>
  <c r="O128" i="2" a="1"/>
  <c r="O129" i="2" a="1"/>
  <c r="O130" i="2" a="1"/>
  <c r="O131" i="2" a="1"/>
  <c r="O132" i="2" a="1"/>
  <c r="O133" i="2" a="1"/>
  <c r="O134" i="2" a="1"/>
  <c r="O135" i="2" a="1"/>
  <c r="O136" i="2" a="1"/>
  <c r="O137" i="2" a="1"/>
  <c r="O138" i="2" a="1"/>
  <c r="O139" i="2" a="1"/>
  <c r="O140" i="2" a="1"/>
  <c r="O141" i="2" a="1"/>
  <c r="O142" i="2" a="1"/>
  <c r="O143" i="2" a="1"/>
  <c r="O144" i="2" a="1"/>
  <c r="O145" i="2" a="1"/>
  <c r="O146" i="2" a="1"/>
  <c r="O147" i="2" a="1"/>
  <c r="O148" i="2" a="1"/>
  <c r="O149" i="2" a="1"/>
  <c r="O150" i="2" a="1"/>
  <c r="O151" i="2" a="1"/>
  <c r="O2" i="2" a="1"/>
  <c r="N3" i="2" a="1"/>
  <c r="N4" i="2" a="1"/>
  <c r="N5" i="2" a="1"/>
  <c r="N6" i="2" a="1"/>
  <c r="N7" i="2" a="1"/>
  <c r="N8" i="2" a="1"/>
  <c r="N9" i="2" a="1"/>
  <c r="N10" i="2" a="1"/>
  <c r="N11" i="2" a="1"/>
  <c r="N12" i="2" a="1"/>
  <c r="N13" i="2" a="1"/>
  <c r="N14" i="2" a="1"/>
  <c r="N15" i="2" a="1"/>
  <c r="N16" i="2" a="1"/>
  <c r="N17" i="2" a="1"/>
  <c r="N18" i="2" a="1"/>
  <c r="N19" i="2" a="1"/>
  <c r="N20" i="2" a="1"/>
  <c r="N21" i="2" a="1"/>
  <c r="N22" i="2" a="1"/>
  <c r="N23" i="2" a="1"/>
  <c r="N24" i="2" a="1"/>
  <c r="N25" i="2" a="1"/>
  <c r="N26" i="2" a="1"/>
  <c r="N27" i="2" a="1"/>
  <c r="N28" i="2" a="1"/>
  <c r="N29" i="2" a="1"/>
  <c r="N30" i="2" a="1"/>
  <c r="N31" i="2" a="1"/>
  <c r="N32" i="2" a="1"/>
  <c r="N33" i="2" a="1"/>
  <c r="N34" i="2" a="1"/>
  <c r="N35" i="2" a="1"/>
  <c r="N36" i="2" a="1"/>
  <c r="N37" i="2" a="1"/>
  <c r="N38" i="2" a="1"/>
  <c r="N39" i="2" a="1"/>
  <c r="N40" i="2" a="1"/>
  <c r="N41" i="2" a="1"/>
  <c r="N42" i="2" a="1"/>
  <c r="N43" i="2" a="1"/>
  <c r="N44" i="2" a="1"/>
  <c r="N45" i="2" a="1"/>
  <c r="N46" i="2" a="1"/>
  <c r="N47" i="2" a="1"/>
  <c r="N48" i="2" a="1"/>
  <c r="N49" i="2" a="1"/>
  <c r="N50" i="2" a="1"/>
  <c r="N51" i="2" a="1"/>
  <c r="N52" i="2" a="1"/>
  <c r="N53" i="2" a="1"/>
  <c r="N54" i="2" a="1"/>
  <c r="N55" i="2" a="1"/>
  <c r="N56" i="2" a="1"/>
  <c r="N57" i="2" a="1"/>
  <c r="N58" i="2" a="1"/>
  <c r="N59" i="2" a="1"/>
  <c r="N60" i="2" a="1"/>
  <c r="N61" i="2" a="1"/>
  <c r="N62" i="2" a="1"/>
  <c r="N63" i="2" a="1"/>
  <c r="N64" i="2" a="1"/>
  <c r="N65" i="2" a="1"/>
  <c r="N66" i="2" a="1"/>
  <c r="N67" i="2" a="1"/>
  <c r="N68" i="2" a="1"/>
  <c r="N69" i="2" a="1"/>
  <c r="N70" i="2" a="1"/>
  <c r="N71" i="2" a="1"/>
  <c r="N72" i="2" a="1"/>
  <c r="N73" i="2" a="1"/>
  <c r="N74" i="2" a="1"/>
  <c r="N75" i="2" a="1"/>
  <c r="N76" i="2" a="1"/>
  <c r="N77" i="2" a="1"/>
  <c r="N78" i="2" a="1"/>
  <c r="N79" i="2" a="1"/>
  <c r="N80" i="2" a="1"/>
  <c r="N81" i="2" a="1"/>
  <c r="N82" i="2" a="1"/>
  <c r="N83" i="2" a="1"/>
  <c r="N84" i="2" a="1"/>
  <c r="N85" i="2" a="1"/>
  <c r="N86" i="2" a="1"/>
  <c r="N87" i="2" a="1"/>
  <c r="N88" i="2" a="1"/>
  <c r="N89" i="2" a="1"/>
  <c r="N90" i="2" a="1"/>
  <c r="N91" i="2" a="1"/>
  <c r="N92" i="2" a="1"/>
  <c r="N93" i="2" a="1"/>
  <c r="N94" i="2" a="1"/>
  <c r="N95" i="2" a="1"/>
  <c r="N96" i="2" a="1"/>
  <c r="N97" i="2" a="1"/>
  <c r="N98" i="2" a="1"/>
  <c r="N99" i="2" a="1"/>
  <c r="N100" i="2" a="1"/>
  <c r="N101" i="2" a="1"/>
  <c r="N102" i="2" a="1"/>
  <c r="N103" i="2" a="1"/>
  <c r="N104" i="2" a="1"/>
  <c r="N105" i="2" a="1"/>
  <c r="N106" i="2" a="1"/>
  <c r="N107" i="2" a="1"/>
  <c r="N108" i="2" a="1"/>
  <c r="N109" i="2" a="1"/>
  <c r="N110" i="2" a="1"/>
  <c r="N111" i="2" a="1"/>
  <c r="N112" i="2" a="1"/>
  <c r="N113" i="2" a="1"/>
  <c r="N114" i="2" a="1"/>
  <c r="N115" i="2" a="1"/>
  <c r="N116" i="2" a="1"/>
  <c r="N117" i="2" a="1"/>
  <c r="N118" i="2" a="1"/>
  <c r="N119" i="2" a="1"/>
  <c r="N120" i="2" a="1"/>
  <c r="N121" i="2" a="1"/>
  <c r="N122" i="2" a="1"/>
  <c r="N123" i="2" a="1"/>
  <c r="N124" i="2" a="1"/>
  <c r="N125" i="2" a="1"/>
  <c r="N126" i="2" a="1"/>
  <c r="N127" i="2" a="1"/>
  <c r="N128" i="2" a="1"/>
  <c r="N129" i="2" a="1"/>
  <c r="N130" i="2" a="1"/>
  <c r="N131" i="2" a="1"/>
  <c r="N132" i="2" a="1"/>
  <c r="N133" i="2" a="1"/>
  <c r="N134" i="2" a="1"/>
  <c r="N135" i="2" a="1"/>
  <c r="N136" i="2" a="1"/>
  <c r="N137" i="2" a="1"/>
  <c r="N138" i="2" a="1"/>
  <c r="N139" i="2" a="1"/>
  <c r="N140" i="2" a="1"/>
  <c r="N141" i="2" a="1"/>
  <c r="N142" i="2" a="1"/>
  <c r="N143" i="2" a="1"/>
  <c r="N144" i="2" a="1"/>
  <c r="N145" i="2" a="1"/>
  <c r="N146" i="2" a="1"/>
  <c r="N147" i="2" a="1"/>
  <c r="N148" i="2" a="1"/>
  <c r="N149" i="2" a="1"/>
  <c r="N150" i="2" a="1"/>
  <c r="N151" i="2" a="1"/>
  <c r="N2" i="2" a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2" i="2"/>
  <c r="L3" i="2" a="1"/>
  <c r="L4" i="2" a="1"/>
  <c r="L5" i="2" a="1"/>
  <c r="L6" i="2" a="1"/>
  <c r="L7" i="2" a="1"/>
  <c r="L8" i="2" a="1"/>
  <c r="L9" i="2" a="1"/>
  <c r="L10" i="2" a="1"/>
  <c r="L11" i="2" a="1"/>
  <c r="L12" i="2" a="1"/>
  <c r="L13" i="2" a="1"/>
  <c r="L14" i="2" a="1"/>
  <c r="L15" i="2" a="1"/>
  <c r="L16" i="2" a="1"/>
  <c r="L17" i="2" a="1"/>
  <c r="L18" i="2" a="1"/>
  <c r="L19" i="2" a="1"/>
  <c r="L20" i="2" a="1"/>
  <c r="L21" i="2" a="1"/>
  <c r="L22" i="2" a="1"/>
  <c r="L23" i="2" a="1"/>
  <c r="L24" i="2" a="1"/>
  <c r="L25" i="2" a="1"/>
  <c r="L26" i="2" a="1"/>
  <c r="L27" i="2" a="1"/>
  <c r="L28" i="2" a="1"/>
  <c r="L29" i="2" a="1"/>
  <c r="L30" i="2" a="1"/>
  <c r="L31" i="2" a="1"/>
  <c r="L32" i="2" a="1"/>
  <c r="L33" i="2" a="1"/>
  <c r="L34" i="2" a="1"/>
  <c r="L35" i="2" a="1"/>
  <c r="L36" i="2" a="1"/>
  <c r="L37" i="2" a="1"/>
  <c r="L38" i="2" a="1"/>
  <c r="L39" i="2" a="1"/>
  <c r="L40" i="2" a="1"/>
  <c r="L41" i="2" a="1"/>
  <c r="L42" i="2" a="1"/>
  <c r="L43" i="2" a="1"/>
  <c r="L44" i="2" a="1"/>
  <c r="L45" i="2" a="1"/>
  <c r="L46" i="2" a="1"/>
  <c r="L47" i="2" a="1"/>
  <c r="L48" i="2" a="1"/>
  <c r="L49" i="2" a="1"/>
  <c r="L50" i="2" a="1"/>
  <c r="L51" i="2" a="1"/>
  <c r="L52" i="2" a="1"/>
  <c r="L53" i="2" a="1"/>
  <c r="L54" i="2" a="1"/>
  <c r="L55" i="2" a="1"/>
  <c r="L56" i="2" a="1"/>
  <c r="L57" i="2" a="1"/>
  <c r="L58" i="2" a="1"/>
  <c r="L59" i="2" a="1"/>
  <c r="L60" i="2" a="1"/>
  <c r="L61" i="2" a="1"/>
  <c r="L62" i="2" a="1"/>
  <c r="L63" i="2" a="1"/>
  <c r="L64" i="2" a="1"/>
  <c r="L65" i="2" a="1"/>
  <c r="L66" i="2" a="1"/>
  <c r="L67" i="2" a="1"/>
  <c r="L68" i="2" a="1"/>
  <c r="L69" i="2" a="1"/>
  <c r="L70" i="2" a="1"/>
  <c r="L71" i="2" a="1"/>
  <c r="L72" i="2" a="1"/>
  <c r="L73" i="2" a="1"/>
  <c r="L74" i="2" a="1"/>
  <c r="L75" i="2" a="1"/>
  <c r="L76" i="2" a="1"/>
  <c r="L77" i="2" a="1"/>
  <c r="L78" i="2" a="1"/>
  <c r="L79" i="2" a="1"/>
  <c r="L80" i="2" a="1"/>
  <c r="L81" i="2" a="1"/>
  <c r="L82" i="2" a="1"/>
  <c r="L83" i="2" a="1"/>
  <c r="L84" i="2" a="1"/>
  <c r="L85" i="2" a="1"/>
  <c r="L86" i="2" a="1"/>
  <c r="L87" i="2" a="1"/>
  <c r="L88" i="2" a="1"/>
  <c r="L89" i="2" a="1"/>
  <c r="L90" i="2" a="1"/>
  <c r="L91" i="2" a="1"/>
  <c r="L92" i="2" a="1"/>
  <c r="L93" i="2" a="1"/>
  <c r="L94" i="2" a="1"/>
  <c r="L95" i="2" a="1"/>
  <c r="L96" i="2" a="1"/>
  <c r="L97" i="2" a="1"/>
  <c r="L98" i="2" a="1"/>
  <c r="L99" i="2" a="1"/>
  <c r="L100" i="2" a="1"/>
  <c r="L101" i="2" a="1"/>
  <c r="L102" i="2" a="1"/>
  <c r="L103" i="2" a="1"/>
  <c r="L104" i="2" a="1"/>
  <c r="L105" i="2" a="1"/>
  <c r="L106" i="2" a="1"/>
  <c r="L107" i="2" a="1"/>
  <c r="L108" i="2" a="1"/>
  <c r="L109" i="2" a="1"/>
  <c r="L110" i="2" a="1"/>
  <c r="L111" i="2" a="1"/>
  <c r="L112" i="2" a="1"/>
  <c r="L113" i="2" a="1"/>
  <c r="L114" i="2" a="1"/>
  <c r="L115" i="2" a="1"/>
  <c r="L116" i="2" a="1"/>
  <c r="L117" i="2" a="1"/>
  <c r="L118" i="2" a="1"/>
  <c r="L119" i="2" a="1"/>
  <c r="L120" i="2" a="1"/>
  <c r="L121" i="2" a="1"/>
  <c r="L122" i="2" a="1"/>
  <c r="L123" i="2" a="1"/>
  <c r="L124" i="2" a="1"/>
  <c r="L125" i="2" a="1"/>
  <c r="L126" i="2" a="1"/>
  <c r="L127" i="2" a="1"/>
  <c r="L128" i="2" a="1"/>
  <c r="L129" i="2" a="1"/>
  <c r="L130" i="2" a="1"/>
  <c r="L131" i="2" a="1"/>
  <c r="L132" i="2" a="1"/>
  <c r="L133" i="2" a="1"/>
  <c r="L134" i="2" a="1"/>
  <c r="L135" i="2" a="1"/>
  <c r="L136" i="2" a="1"/>
  <c r="L137" i="2" a="1"/>
  <c r="L138" i="2" a="1"/>
  <c r="L139" i="2" a="1"/>
  <c r="L140" i="2" a="1"/>
  <c r="L141" i="2" a="1"/>
  <c r="L142" i="2" a="1"/>
  <c r="L143" i="2" a="1"/>
  <c r="L144" i="2" a="1"/>
  <c r="L145" i="2" a="1"/>
  <c r="L146" i="2" a="1"/>
  <c r="L147" i="2" a="1"/>
  <c r="L148" i="2" a="1"/>
  <c r="L149" i="2" a="1"/>
  <c r="L150" i="2" a="1"/>
  <c r="L151" i="2" a="1"/>
  <c r="L2" i="2" a="1"/>
  <c r="K3" i="2" a="1"/>
  <c r="K4" i="2" a="1"/>
  <c r="K5" i="2" a="1"/>
  <c r="K6" i="2" a="1"/>
  <c r="K7" i="2" a="1"/>
  <c r="K8" i="2" a="1"/>
  <c r="K9" i="2" a="1"/>
  <c r="K10" i="2" a="1"/>
  <c r="K11" i="2" a="1"/>
  <c r="K12" i="2" a="1"/>
  <c r="K13" i="2" a="1"/>
  <c r="K14" i="2" a="1"/>
  <c r="K15" i="2" a="1"/>
  <c r="K16" i="2" a="1"/>
  <c r="K17" i="2" a="1"/>
  <c r="K18" i="2" a="1"/>
  <c r="K19" i="2" a="1"/>
  <c r="K20" i="2" a="1"/>
  <c r="K21" i="2" a="1"/>
  <c r="K22" i="2" a="1"/>
  <c r="K23" i="2" a="1"/>
  <c r="K24" i="2" a="1"/>
  <c r="K25" i="2" a="1"/>
  <c r="K26" i="2" a="1"/>
  <c r="K27" i="2" a="1"/>
  <c r="K28" i="2" a="1"/>
  <c r="K29" i="2" a="1"/>
  <c r="K30" i="2" a="1"/>
  <c r="K31" i="2" a="1"/>
  <c r="K32" i="2" a="1"/>
  <c r="K33" i="2" a="1"/>
  <c r="K34" i="2" a="1"/>
  <c r="K35" i="2" a="1"/>
  <c r="K36" i="2" a="1"/>
  <c r="K37" i="2" a="1"/>
  <c r="K38" i="2" a="1"/>
  <c r="K39" i="2" a="1"/>
  <c r="K40" i="2" a="1"/>
  <c r="K41" i="2" a="1"/>
  <c r="K42" i="2" a="1"/>
  <c r="K43" i="2" a="1"/>
  <c r="K44" i="2" a="1"/>
  <c r="K45" i="2" a="1"/>
  <c r="K46" i="2" a="1"/>
  <c r="K47" i="2" a="1"/>
  <c r="K48" i="2" a="1"/>
  <c r="K49" i="2" a="1"/>
  <c r="K50" i="2" a="1"/>
  <c r="K51" i="2" a="1"/>
  <c r="K52" i="2" a="1"/>
  <c r="K53" i="2" a="1"/>
  <c r="K54" i="2" a="1"/>
  <c r="K55" i="2" a="1"/>
  <c r="K56" i="2" a="1"/>
  <c r="K57" i="2" a="1"/>
  <c r="K58" i="2" a="1"/>
  <c r="K59" i="2" a="1"/>
  <c r="K60" i="2" a="1"/>
  <c r="K61" i="2" a="1"/>
  <c r="K62" i="2" a="1"/>
  <c r="K63" i="2" a="1"/>
  <c r="K64" i="2" a="1"/>
  <c r="K65" i="2" a="1"/>
  <c r="K66" i="2" a="1"/>
  <c r="K67" i="2" a="1"/>
  <c r="K68" i="2" a="1"/>
  <c r="K69" i="2" a="1"/>
  <c r="K70" i="2" a="1"/>
  <c r="K71" i="2" a="1"/>
  <c r="K72" i="2" a="1"/>
  <c r="K73" i="2" a="1"/>
  <c r="K74" i="2" a="1"/>
  <c r="K75" i="2" a="1"/>
  <c r="K76" i="2" a="1"/>
  <c r="K77" i="2" a="1"/>
  <c r="K78" i="2" a="1"/>
  <c r="K79" i="2" a="1"/>
  <c r="K80" i="2" a="1"/>
  <c r="K81" i="2" a="1"/>
  <c r="K82" i="2" a="1"/>
  <c r="K83" i="2" a="1"/>
  <c r="K84" i="2" a="1"/>
  <c r="K85" i="2" a="1"/>
  <c r="K86" i="2" a="1"/>
  <c r="K87" i="2" a="1"/>
  <c r="K88" i="2" a="1"/>
  <c r="K89" i="2" a="1"/>
  <c r="K90" i="2" a="1"/>
  <c r="K91" i="2" a="1"/>
  <c r="K92" i="2" a="1"/>
  <c r="K93" i="2" a="1"/>
  <c r="K94" i="2" a="1"/>
  <c r="K95" i="2" a="1"/>
  <c r="K96" i="2" a="1"/>
  <c r="K97" i="2" a="1"/>
  <c r="K98" i="2" a="1"/>
  <c r="K99" i="2" a="1"/>
  <c r="K100" i="2" a="1"/>
  <c r="K101" i="2" a="1"/>
  <c r="K102" i="2" a="1"/>
  <c r="K103" i="2" a="1"/>
  <c r="K104" i="2" a="1"/>
  <c r="K105" i="2" a="1"/>
  <c r="K106" i="2" a="1"/>
  <c r="K107" i="2" a="1"/>
  <c r="K108" i="2" a="1"/>
  <c r="K109" i="2" a="1"/>
  <c r="K110" i="2" a="1"/>
  <c r="K111" i="2" a="1"/>
  <c r="K112" i="2" a="1"/>
  <c r="K113" i="2" a="1"/>
  <c r="K114" i="2" a="1"/>
  <c r="K115" i="2" a="1"/>
  <c r="K116" i="2" a="1"/>
  <c r="K117" i="2" a="1"/>
  <c r="K118" i="2" a="1"/>
  <c r="K119" i="2" a="1"/>
  <c r="K120" i="2" a="1"/>
  <c r="K121" i="2" a="1"/>
  <c r="K122" i="2" a="1"/>
  <c r="K123" i="2" a="1"/>
  <c r="K124" i="2" a="1"/>
  <c r="K125" i="2" a="1"/>
  <c r="K126" i="2" a="1"/>
  <c r="K127" i="2" a="1"/>
  <c r="K128" i="2" a="1"/>
  <c r="K129" i="2" a="1"/>
  <c r="K130" i="2" a="1"/>
  <c r="K131" i="2" a="1"/>
  <c r="K132" i="2" a="1"/>
  <c r="K133" i="2" a="1"/>
  <c r="K134" i="2" a="1"/>
  <c r="K135" i="2" a="1"/>
  <c r="K136" i="2" a="1"/>
  <c r="K137" i="2" a="1"/>
  <c r="K138" i="2" a="1"/>
  <c r="K139" i="2" a="1"/>
  <c r="K140" i="2" a="1"/>
  <c r="K141" i="2" a="1"/>
  <c r="K142" i="2" a="1"/>
  <c r="K143" i="2" a="1"/>
  <c r="K144" i="2" a="1"/>
  <c r="K145" i="2" a="1"/>
  <c r="K146" i="2" a="1"/>
  <c r="K147" i="2" a="1"/>
  <c r="K148" i="2" a="1"/>
  <c r="K149" i="2" a="1"/>
  <c r="K150" i="2" a="1"/>
  <c r="K151" i="2" a="1"/>
  <c r="K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2" i="2" a="1"/>
  <c r="H2" i="2" a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2" i="2"/>
  <c r="H3" i="2" a="1"/>
  <c r="H4" i="2" a="1"/>
  <c r="H5" i="2" a="1"/>
  <c r="H6" i="2" a="1"/>
  <c r="H7" i="2" a="1"/>
  <c r="H8" i="2" a="1"/>
  <c r="H9" i="2" a="1"/>
  <c r="H10" i="2" a="1"/>
  <c r="H11" i="2" a="1"/>
  <c r="H12" i="2" a="1"/>
  <c r="H13" i="2" a="1"/>
  <c r="H14" i="2" a="1"/>
  <c r="H15" i="2" a="1"/>
  <c r="H16" i="2" a="1"/>
  <c r="H17" i="2" a="1"/>
  <c r="H18" i="2" a="1"/>
  <c r="H19" i="2" a="1"/>
  <c r="H20" i="2" a="1"/>
  <c r="H21" i="2" a="1"/>
  <c r="H22" i="2" a="1"/>
  <c r="H23" i="2" a="1"/>
  <c r="H24" i="2" a="1"/>
  <c r="H25" i="2" a="1"/>
  <c r="H26" i="2" a="1"/>
  <c r="H27" i="2" a="1"/>
  <c r="H28" i="2" a="1"/>
  <c r="H29" i="2" a="1"/>
  <c r="H30" i="2" a="1"/>
  <c r="H31" i="2" a="1"/>
  <c r="H32" i="2" a="1"/>
  <c r="H33" i="2" a="1"/>
  <c r="H34" i="2" a="1"/>
  <c r="H35" i="2" a="1"/>
  <c r="H36" i="2" a="1"/>
  <c r="H37" i="2" a="1"/>
  <c r="H38" i="2" a="1"/>
  <c r="H39" i="2" a="1"/>
  <c r="H40" i="2" a="1"/>
  <c r="H41" i="2" a="1"/>
  <c r="H42" i="2" a="1"/>
  <c r="H43" i="2" a="1"/>
  <c r="H44" i="2" a="1"/>
  <c r="H45" i="2" a="1"/>
  <c r="H46" i="2" a="1"/>
  <c r="H47" i="2" a="1"/>
  <c r="H48" i="2" a="1"/>
  <c r="H49" i="2" a="1"/>
  <c r="H50" i="2" a="1"/>
  <c r="H51" i="2" a="1"/>
  <c r="H52" i="2" a="1"/>
  <c r="H53" i="2" a="1"/>
  <c r="H54" i="2" a="1"/>
  <c r="H55" i="2" a="1"/>
  <c r="H56" i="2" a="1"/>
  <c r="H57" i="2" a="1"/>
  <c r="H58" i="2" a="1"/>
  <c r="H59" i="2" a="1"/>
  <c r="H60" i="2" a="1"/>
  <c r="H61" i="2" a="1"/>
  <c r="H62" i="2" a="1"/>
  <c r="H63" i="2" a="1"/>
  <c r="H64" i="2" a="1"/>
  <c r="H65" i="2" a="1"/>
  <c r="H66" i="2" a="1"/>
  <c r="H67" i="2" a="1"/>
  <c r="H68" i="2" a="1"/>
  <c r="H69" i="2" a="1"/>
  <c r="H70" i="2" a="1"/>
  <c r="H71" i="2" a="1"/>
  <c r="H72" i="2" a="1"/>
  <c r="H73" i="2" a="1"/>
  <c r="H74" i="2" a="1"/>
  <c r="H75" i="2" a="1"/>
  <c r="H76" i="2" a="1"/>
  <c r="H77" i="2" a="1"/>
  <c r="H78" i="2" a="1"/>
  <c r="H79" i="2" a="1"/>
  <c r="H80" i="2" a="1"/>
  <c r="H81" i="2" a="1"/>
  <c r="H82" i="2" a="1"/>
  <c r="H83" i="2" a="1"/>
  <c r="H84" i="2" a="1"/>
  <c r="H85" i="2" a="1"/>
  <c r="H86" i="2" a="1"/>
  <c r="H87" i="2" a="1"/>
  <c r="H88" i="2" a="1"/>
  <c r="H89" i="2" a="1"/>
  <c r="H90" i="2" a="1"/>
  <c r="H91" i="2" a="1"/>
  <c r="H92" i="2" a="1"/>
  <c r="H93" i="2" a="1"/>
  <c r="H94" i="2" a="1"/>
  <c r="H95" i="2" a="1"/>
  <c r="H96" i="2" a="1"/>
  <c r="H97" i="2" a="1"/>
  <c r="H98" i="2" a="1"/>
  <c r="H99" i="2" a="1"/>
  <c r="H100" i="2" a="1"/>
  <c r="H101" i="2" a="1"/>
  <c r="H102" i="2" a="1"/>
  <c r="H103" i="2" a="1"/>
  <c r="H104" i="2" a="1"/>
  <c r="H105" i="2" a="1"/>
  <c r="H106" i="2" a="1"/>
  <c r="H107" i="2" a="1"/>
  <c r="H108" i="2" a="1"/>
  <c r="H109" i="2" a="1"/>
  <c r="H110" i="2" a="1"/>
  <c r="H111" i="2" a="1"/>
  <c r="H112" i="2" a="1"/>
  <c r="H113" i="2" a="1"/>
  <c r="H114" i="2" a="1"/>
  <c r="H115" i="2" a="1"/>
  <c r="H116" i="2" a="1"/>
  <c r="H117" i="2" a="1"/>
  <c r="H118" i="2" a="1"/>
  <c r="H119" i="2" a="1"/>
  <c r="H120" i="2" a="1"/>
  <c r="H121" i="2" a="1"/>
  <c r="H122" i="2" a="1"/>
  <c r="H123" i="2" a="1"/>
  <c r="H124" i="2" a="1"/>
  <c r="H125" i="2" a="1"/>
  <c r="H126" i="2" a="1"/>
  <c r="H127" i="2" a="1"/>
  <c r="H128" i="2" a="1"/>
  <c r="H129" i="2" a="1"/>
  <c r="H130" i="2" a="1"/>
  <c r="H131" i="2" a="1"/>
  <c r="H132" i="2" a="1"/>
  <c r="H133" i="2" a="1"/>
  <c r="H134" i="2" a="1"/>
  <c r="H135" i="2" a="1"/>
  <c r="H136" i="2" a="1"/>
  <c r="H137" i="2" a="1"/>
  <c r="H138" i="2" a="1"/>
  <c r="H139" i="2" a="1"/>
  <c r="H140" i="2" a="1"/>
  <c r="H141" i="2" a="1"/>
  <c r="H142" i="2" a="1"/>
  <c r="H143" i="2" a="1"/>
  <c r="H144" i="2" a="1"/>
  <c r="H145" i="2" a="1"/>
  <c r="H146" i="2" a="1"/>
  <c r="H147" i="2" a="1"/>
  <c r="H148" i="2" a="1"/>
  <c r="H149" i="2" a="1"/>
  <c r="H150" i="2" a="1"/>
  <c r="H151" i="2" a="1"/>
  <c r="G3" i="2" a="1"/>
  <c r="G4" i="2" a="1"/>
  <c r="G5" i="2" a="1"/>
  <c r="G6" i="2" a="1"/>
  <c r="G7" i="2" a="1"/>
  <c r="G8" i="2" a="1"/>
  <c r="G9" i="2" a="1"/>
  <c r="G10" i="2" a="1"/>
  <c r="G11" i="2" a="1"/>
  <c r="G12" i="2" a="1"/>
  <c r="G13" i="2" a="1"/>
  <c r="G14" i="2" a="1"/>
  <c r="G15" i="2" a="1"/>
  <c r="G16" i="2" a="1"/>
  <c r="G17" i="2" a="1"/>
  <c r="G18" i="2" a="1"/>
  <c r="G19" i="2" a="1"/>
  <c r="G20" i="2" a="1"/>
  <c r="G21" i="2" a="1"/>
  <c r="G22" i="2" a="1"/>
  <c r="G23" i="2" a="1"/>
  <c r="G24" i="2" a="1"/>
  <c r="G25" i="2" a="1"/>
  <c r="G26" i="2" a="1"/>
  <c r="G27" i="2" a="1"/>
  <c r="G28" i="2" a="1"/>
  <c r="G29" i="2" a="1"/>
  <c r="G30" i="2" a="1"/>
  <c r="G31" i="2" a="1"/>
  <c r="G32" i="2" a="1"/>
  <c r="G33" i="2" a="1"/>
  <c r="G34" i="2" a="1"/>
  <c r="G35" i="2" a="1"/>
  <c r="G36" i="2" a="1"/>
  <c r="G37" i="2" a="1"/>
  <c r="G38" i="2" a="1"/>
  <c r="G39" i="2" a="1"/>
  <c r="G40" i="2" a="1"/>
  <c r="G41" i="2" a="1"/>
  <c r="G42" i="2" a="1"/>
  <c r="G43" i="2" a="1"/>
  <c r="G44" i="2" a="1"/>
  <c r="G45" i="2" a="1"/>
  <c r="G46" i="2" a="1"/>
  <c r="G47" i="2" a="1"/>
  <c r="G48" i="2" a="1"/>
  <c r="G49" i="2" a="1"/>
  <c r="G50" i="2" a="1"/>
  <c r="G51" i="2" a="1"/>
  <c r="G52" i="2" a="1"/>
  <c r="G53" i="2" a="1"/>
  <c r="G54" i="2" a="1"/>
  <c r="G55" i="2" a="1"/>
  <c r="G56" i="2" a="1"/>
  <c r="G57" i="2" a="1"/>
  <c r="G58" i="2" a="1"/>
  <c r="G59" i="2" a="1"/>
  <c r="G60" i="2" a="1"/>
  <c r="G61" i="2" a="1"/>
  <c r="G62" i="2" a="1"/>
  <c r="G63" i="2" a="1"/>
  <c r="G64" i="2" a="1"/>
  <c r="G65" i="2" a="1"/>
  <c r="G66" i="2" a="1"/>
  <c r="G67" i="2" a="1"/>
  <c r="G68" i="2" a="1"/>
  <c r="G69" i="2" a="1"/>
  <c r="G70" i="2" a="1"/>
  <c r="G71" i="2" a="1"/>
  <c r="G72" i="2" a="1"/>
  <c r="G73" i="2" a="1"/>
  <c r="G74" i="2" a="1"/>
  <c r="G75" i="2" a="1"/>
  <c r="G76" i="2" a="1"/>
  <c r="G77" i="2" a="1"/>
  <c r="G78" i="2" a="1"/>
  <c r="G79" i="2" a="1"/>
  <c r="G80" i="2" a="1"/>
  <c r="G81" i="2" a="1"/>
  <c r="G82" i="2" a="1"/>
  <c r="G83" i="2" a="1"/>
  <c r="G84" i="2" a="1"/>
  <c r="G85" i="2" a="1"/>
  <c r="G86" i="2" a="1"/>
  <c r="G87" i="2" a="1"/>
  <c r="G88" i="2" a="1"/>
  <c r="G89" i="2" a="1"/>
  <c r="G90" i="2" a="1"/>
  <c r="G91" i="2" a="1"/>
  <c r="G92" i="2" a="1"/>
  <c r="G93" i="2" a="1"/>
  <c r="G94" i="2" a="1"/>
  <c r="G95" i="2" a="1"/>
  <c r="G96" i="2" a="1"/>
  <c r="G97" i="2" a="1"/>
  <c r="G98" i="2" a="1"/>
  <c r="G99" i="2" a="1"/>
  <c r="G100" i="2" a="1"/>
  <c r="G101" i="2" a="1"/>
  <c r="G102" i="2" a="1"/>
  <c r="G103" i="2" a="1"/>
  <c r="G104" i="2" a="1"/>
  <c r="G105" i="2" a="1"/>
  <c r="G106" i="2" a="1"/>
  <c r="G107" i="2" a="1"/>
  <c r="G108" i="2" a="1"/>
  <c r="G109" i="2" a="1"/>
  <c r="G110" i="2" a="1"/>
  <c r="G111" i="2" a="1"/>
  <c r="G112" i="2" a="1"/>
  <c r="G113" i="2" a="1"/>
  <c r="G114" i="2" a="1"/>
  <c r="G115" i="2" a="1"/>
  <c r="G116" i="2" a="1"/>
  <c r="G117" i="2" a="1"/>
  <c r="G118" i="2" a="1"/>
  <c r="G119" i="2" a="1"/>
  <c r="G120" i="2" a="1"/>
  <c r="G121" i="2" a="1"/>
  <c r="G122" i="2" a="1"/>
  <c r="G123" i="2" a="1"/>
  <c r="G124" i="2" a="1"/>
  <c r="G125" i="2" a="1"/>
  <c r="G126" i="2" a="1"/>
  <c r="G127" i="2" a="1"/>
  <c r="G128" i="2" a="1"/>
  <c r="G129" i="2" a="1"/>
  <c r="G130" i="2" a="1"/>
  <c r="G131" i="2" a="1"/>
  <c r="G132" i="2" a="1"/>
  <c r="G133" i="2" a="1"/>
  <c r="G134" i="2" a="1"/>
  <c r="G135" i="2" a="1"/>
  <c r="G136" i="2" a="1"/>
  <c r="G137" i="2" a="1"/>
  <c r="G138" i="2" a="1"/>
  <c r="G139" i="2" a="1"/>
  <c r="G140" i="2" a="1"/>
  <c r="G141" i="2" a="1"/>
  <c r="G142" i="2" a="1"/>
  <c r="G143" i="2" a="1"/>
  <c r="G144" i="2" a="1"/>
  <c r="G145" i="2" a="1"/>
  <c r="G146" i="2" a="1"/>
  <c r="G147" i="2" a="1"/>
  <c r="G148" i="2" a="1"/>
  <c r="G149" i="2" a="1"/>
  <c r="G150" i="2" a="1"/>
  <c r="G151" i="2" a="1"/>
  <c r="G2" i="2" a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2" i="2"/>
  <c r="I122" i="6" l="1"/>
  <c r="I71" i="6"/>
  <c r="I7" i="6"/>
  <c r="I10" i="6"/>
  <c r="I8" i="6"/>
  <c r="I16" i="6"/>
  <c r="I20" i="6"/>
  <c r="I56" i="6"/>
  <c r="I51" i="6"/>
  <c r="I9" i="6"/>
  <c r="I34" i="6"/>
  <c r="I32" i="6"/>
  <c r="I39" i="6"/>
  <c r="I21" i="6"/>
  <c r="I55" i="6"/>
  <c r="I60" i="6"/>
  <c r="I35" i="6"/>
  <c r="I31" i="6"/>
  <c r="I5" i="6"/>
  <c r="I4" i="6"/>
  <c r="I47" i="6"/>
  <c r="I25" i="6"/>
  <c r="I50" i="6"/>
  <c r="I23" i="6"/>
  <c r="I33" i="6"/>
  <c r="I38" i="6"/>
  <c r="I19" i="6"/>
  <c r="I46" i="6"/>
  <c r="I97" i="6"/>
  <c r="I17" i="6"/>
  <c r="I27" i="6"/>
  <c r="I3" i="6"/>
  <c r="I28" i="6"/>
  <c r="I37" i="6"/>
  <c r="I6" i="6"/>
  <c r="I12" i="6"/>
  <c r="I22" i="6"/>
  <c r="I77" i="6"/>
  <c r="I41" i="6"/>
  <c r="I26" i="6"/>
  <c r="I30" i="6"/>
  <c r="I44" i="6"/>
  <c r="I57" i="6"/>
  <c r="I15" i="6"/>
  <c r="I42" i="6"/>
  <c r="I18" i="6"/>
  <c r="I59" i="6"/>
  <c r="I119" i="6"/>
  <c r="I136" i="6"/>
  <c r="I63" i="6"/>
  <c r="I109" i="6"/>
  <c r="I45" i="6"/>
  <c r="I61" i="6"/>
  <c r="I86" i="6"/>
  <c r="I94" i="6"/>
  <c r="I91" i="6"/>
  <c r="I52" i="6"/>
  <c r="I130" i="6"/>
  <c r="I131" i="6"/>
  <c r="I76" i="6"/>
  <c r="I73" i="6"/>
  <c r="I108" i="6"/>
  <c r="I92" i="6"/>
  <c r="I127" i="6"/>
  <c r="I83" i="6"/>
  <c r="I36" i="6"/>
  <c r="I43" i="6"/>
  <c r="I105" i="6"/>
  <c r="I113" i="6"/>
  <c r="I62" i="6"/>
  <c r="I88" i="6"/>
  <c r="I93" i="6"/>
  <c r="I110" i="6"/>
  <c r="I40" i="6"/>
  <c r="I114" i="6"/>
  <c r="I96" i="6"/>
  <c r="I84" i="6"/>
  <c r="I147" i="6"/>
  <c r="I116" i="6"/>
  <c r="I148" i="6"/>
  <c r="I128" i="6"/>
  <c r="I145" i="6"/>
  <c r="I142" i="6"/>
  <c r="I139" i="6"/>
  <c r="I121" i="6"/>
  <c r="I150" i="6"/>
  <c r="I126" i="6"/>
  <c r="I111" i="6"/>
  <c r="I140" i="6"/>
  <c r="I143" i="6"/>
  <c r="I137" i="6"/>
  <c r="I132" i="6"/>
  <c r="I144" i="6"/>
  <c r="I87" i="6"/>
  <c r="I112" i="6"/>
  <c r="I135" i="6"/>
  <c r="I146" i="6"/>
  <c r="I117" i="6"/>
  <c r="I125" i="6"/>
  <c r="I141" i="6"/>
  <c r="I123" i="6"/>
  <c r="I149" i="6"/>
  <c r="I138" i="6"/>
  <c r="I151" i="6"/>
  <c r="I74" i="6"/>
  <c r="I11" i="6"/>
  <c r="I24" i="6"/>
  <c r="I14" i="6"/>
  <c r="I13" i="6"/>
  <c r="I65" i="6"/>
  <c r="I29" i="6"/>
  <c r="I80" i="6"/>
  <c r="I102" i="6"/>
  <c r="I89" i="6"/>
  <c r="I82" i="6"/>
  <c r="I85" i="6"/>
  <c r="I106" i="6"/>
  <c r="I64" i="6"/>
  <c r="I67" i="6"/>
  <c r="I58" i="6"/>
  <c r="I75" i="6"/>
  <c r="I69" i="6"/>
  <c r="I134" i="6"/>
  <c r="I70" i="6"/>
  <c r="I66" i="6"/>
  <c r="I100" i="6"/>
  <c r="I79" i="6"/>
  <c r="I68" i="6"/>
  <c r="I129" i="6"/>
  <c r="I120" i="6"/>
  <c r="I53" i="6"/>
  <c r="I49" i="6"/>
  <c r="I107" i="6"/>
  <c r="I104" i="6"/>
  <c r="I72" i="6"/>
  <c r="I118" i="6"/>
  <c r="I103" i="6"/>
  <c r="I81" i="6"/>
  <c r="I78" i="6"/>
  <c r="I101" i="6"/>
  <c r="I98" i="6"/>
  <c r="I54" i="6"/>
  <c r="I115" i="6"/>
  <c r="I90" i="6"/>
  <c r="I124" i="6"/>
  <c r="I133" i="6"/>
  <c r="I95" i="6"/>
  <c r="I99" i="6"/>
  <c r="I48" i="6"/>
  <c r="G51" i="3" s="1"/>
  <c r="G55" i="3" s="1"/>
  <c r="G67" i="3" s="1"/>
  <c r="G72" i="3" s="1"/>
  <c r="G88" i="3" s="1"/>
  <c r="G119" i="3" s="1"/>
  <c r="G135" i="3" s="1"/>
  <c r="G141" i="3" s="1"/>
  <c r="G35" i="3" s="1"/>
  <c r="G39" i="3" s="1"/>
  <c r="G75" i="3" s="1"/>
  <c r="G76" i="3" s="1"/>
  <c r="G81" i="3" s="1"/>
  <c r="G87" i="3" s="1"/>
  <c r="G93" i="3" s="1"/>
  <c r="G100" i="3" s="1"/>
  <c r="G117" i="3" s="1"/>
  <c r="G123" i="3" s="1"/>
  <c r="G140" i="3" s="1"/>
  <c r="G145" i="3" s="1"/>
  <c r="G17" i="3" s="1"/>
  <c r="G44" i="3" s="1"/>
  <c r="G53" i="3" s="1"/>
  <c r="G115" i="3" s="1"/>
  <c r="G120" i="3" s="1"/>
  <c r="G126" i="3" s="1"/>
  <c r="G131" i="3" s="1"/>
  <c r="G147" i="3" s="1"/>
  <c r="G13" i="3" s="1"/>
  <c r="G29" i="3" s="1"/>
  <c r="G36" i="3" s="1"/>
  <c r="G37" i="3" s="1"/>
  <c r="G64" i="3" s="1"/>
  <c r="G99" i="3" s="1"/>
  <c r="G105" i="3" s="1"/>
  <c r="G111" i="3" s="1"/>
  <c r="G121" i="3" s="1"/>
  <c r="G127" i="3" s="1"/>
  <c r="G133" i="3" s="1"/>
  <c r="G138" i="3" s="1"/>
  <c r="G150" i="3" s="1"/>
  <c r="G5" i="3" s="1"/>
  <c r="G14" i="3" s="1"/>
  <c r="G19" i="3" s="1"/>
  <c r="G33" i="3" s="1"/>
  <c r="G41" i="3" s="1"/>
  <c r="G45" i="3" s="1"/>
  <c r="G47" i="3" s="1"/>
  <c r="G48" i="3" s="1"/>
  <c r="G50" i="3" s="1"/>
  <c r="G54" i="3" s="1"/>
  <c r="G59" i="3" s="1"/>
  <c r="G65" i="3" s="1"/>
  <c r="G70" i="3" s="1"/>
  <c r="G73" i="3" s="1"/>
  <c r="G85" i="3" s="1"/>
  <c r="G89" i="3" s="1"/>
  <c r="G90" i="3" s="1"/>
  <c r="G92" i="3" s="1"/>
  <c r="G96" i="3" s="1"/>
  <c r="G101" i="3" s="1"/>
  <c r="G107" i="3" s="1"/>
  <c r="G113" i="3" s="1"/>
  <c r="G125" i="3" s="1"/>
  <c r="G128" i="3" s="1"/>
  <c r="G129" i="3" s="1"/>
  <c r="G132" i="3" s="1"/>
  <c r="G136" i="3" s="1"/>
  <c r="G139" i="3" s="1"/>
  <c r="G143" i="3" s="1"/>
  <c r="G149" i="3" s="1"/>
  <c r="E91" i="3" s="1"/>
  <c r="E131" i="3" s="1"/>
  <c r="E133" i="3" s="1"/>
  <c r="E135" i="3" s="1"/>
  <c r="E139" i="3" s="1"/>
  <c r="E144" i="3" s="1"/>
  <c r="E146" i="3" s="1"/>
  <c r="E150" i="3" s="1"/>
  <c r="E48" i="3" s="1"/>
  <c r="E130" i="3" s="1"/>
  <c r="E132" i="3" s="1"/>
  <c r="E136" i="3" s="1"/>
  <c r="E138" i="3" s="1"/>
  <c r="E141" i="3" s="1"/>
  <c r="E143" i="3" s="1"/>
  <c r="E145" i="3" s="1"/>
  <c r="E147" i="3" s="1"/>
  <c r="E149" i="3" s="1"/>
  <c r="G104" i="3"/>
  <c r="G61" i="3"/>
  <c r="G57" i="3"/>
  <c r="G69" i="3"/>
  <c r="G116" i="3"/>
  <c r="G144" i="3"/>
  <c r="E140" i="3"/>
  <c r="E151" i="3"/>
  <c r="E128" i="3"/>
  <c r="G46" i="3"/>
  <c r="G79" i="3"/>
  <c r="E86" i="3"/>
  <c r="E109" i="3"/>
  <c r="G86" i="3"/>
  <c r="G91" i="3"/>
  <c r="G95" i="3"/>
  <c r="G103" i="3"/>
  <c r="G108" i="3"/>
  <c r="G109" i="3"/>
  <c r="G114" i="3"/>
  <c r="E9" i="3"/>
  <c r="E7" i="3"/>
  <c r="E134" i="3"/>
  <c r="E129" i="3"/>
  <c r="E106" i="3"/>
  <c r="E123" i="3"/>
  <c r="E127" i="3"/>
  <c r="E80" i="3"/>
  <c r="E87" i="3"/>
  <c r="E94" i="3"/>
  <c r="E98" i="3"/>
  <c r="E103" i="3"/>
  <c r="E110" i="3"/>
  <c r="E113" i="3"/>
  <c r="E117" i="3"/>
  <c r="E125" i="3"/>
  <c r="E93" i="3"/>
  <c r="E99" i="3"/>
  <c r="E105" i="3"/>
  <c r="E112" i="3"/>
  <c r="E118" i="3"/>
  <c r="E124" i="3"/>
  <c r="E77" i="3"/>
  <c r="E79" i="3"/>
  <c r="E81" i="3"/>
  <c r="E85" i="3"/>
  <c r="E89" i="3"/>
  <c r="E92" i="3"/>
  <c r="E97" i="3"/>
  <c r="E100" i="3"/>
  <c r="E107" i="3"/>
  <c r="E114" i="3"/>
  <c r="E120" i="3"/>
  <c r="E126" i="3"/>
  <c r="E78" i="3"/>
  <c r="E83" i="3"/>
  <c r="E90" i="3"/>
  <c r="E95" i="3"/>
  <c r="E101" i="3"/>
  <c r="E104" i="3"/>
  <c r="E111" i="3"/>
  <c r="E116" i="3"/>
  <c r="E122" i="3"/>
  <c r="E88" i="3"/>
  <c r="E96" i="3"/>
  <c r="E102" i="3"/>
  <c r="E108" i="3"/>
  <c r="E115" i="3"/>
  <c r="E121" i="3"/>
  <c r="C142" i="3"/>
  <c r="C58" i="3"/>
  <c r="C75" i="3"/>
  <c r="C94" i="3"/>
  <c r="C95" i="3"/>
  <c r="C97" i="3"/>
  <c r="C98" i="3"/>
  <c r="C100" i="3"/>
  <c r="C101" i="3"/>
  <c r="C105" i="3"/>
  <c r="C106" i="3"/>
  <c r="C108" i="3"/>
  <c r="C109" i="3"/>
  <c r="C111" i="3"/>
  <c r="C112" i="3"/>
  <c r="C113" i="3"/>
  <c r="C114" i="3"/>
  <c r="C117" i="3"/>
  <c r="C118" i="3"/>
  <c r="C120" i="3"/>
  <c r="C121" i="3"/>
  <c r="C122" i="3"/>
  <c r="C123" i="3"/>
  <c r="C125" i="3"/>
  <c r="C126" i="3"/>
  <c r="C128" i="3"/>
  <c r="C129" i="3"/>
  <c r="C131" i="3"/>
  <c r="C132" i="3"/>
  <c r="C135" i="3"/>
  <c r="C137" i="3"/>
  <c r="C138" i="3"/>
  <c r="C140" i="3"/>
  <c r="C141" i="3"/>
  <c r="G22" i="3"/>
  <c r="G30" i="3"/>
  <c r="G66" i="3"/>
  <c r="G118" i="3"/>
  <c r="E12" i="3"/>
  <c r="E18" i="3"/>
  <c r="E26" i="3"/>
  <c r="E43" i="3"/>
  <c r="E53" i="3"/>
  <c r="E35" i="3"/>
  <c r="E42" i="3"/>
  <c r="E60" i="3"/>
  <c r="E56" i="3"/>
  <c r="E64" i="3"/>
  <c r="E71" i="3"/>
  <c r="E37" i="3"/>
  <c r="E61" i="3"/>
  <c r="E69" i="3"/>
  <c r="E76" i="3"/>
  <c r="E57" i="3"/>
  <c r="G18" i="3"/>
  <c r="G56" i="3"/>
  <c r="G63" i="3"/>
  <c r="G68" i="3"/>
  <c r="G77" i="3"/>
  <c r="G83" i="3"/>
  <c r="G124" i="3"/>
  <c r="G142" i="3"/>
  <c r="G148" i="3"/>
  <c r="G38" i="3"/>
  <c r="G60" i="3"/>
  <c r="G74" i="3"/>
  <c r="G82" i="3"/>
  <c r="G112" i="3"/>
  <c r="G134" i="3"/>
  <c r="G151" i="3"/>
  <c r="G3" i="3"/>
  <c r="G4" i="3"/>
  <c r="G10" i="3"/>
  <c r="G20" i="3"/>
  <c r="G25" i="3"/>
  <c r="G34" i="3"/>
  <c r="G49" i="3"/>
  <c r="G137" i="3"/>
  <c r="G11" i="3"/>
  <c r="G26" i="3"/>
  <c r="G32" i="3"/>
  <c r="G43" i="3"/>
  <c r="G98" i="3"/>
  <c r="G12" i="3"/>
  <c r="G21" i="3"/>
  <c r="G27" i="3"/>
  <c r="G62" i="3"/>
  <c r="G122" i="3"/>
  <c r="G146" i="3"/>
  <c r="E10" i="3"/>
  <c r="E16" i="3"/>
  <c r="E22" i="3"/>
  <c r="E6" i="3"/>
  <c r="E47" i="3"/>
  <c r="E41" i="3"/>
  <c r="E46" i="3"/>
  <c r="E54" i="3"/>
  <c r="E52" i="3"/>
  <c r="E59" i="3"/>
  <c r="E67" i="3"/>
  <c r="E75" i="3"/>
  <c r="E55" i="3"/>
  <c r="E63" i="3"/>
  <c r="E72" i="3"/>
  <c r="E119" i="3"/>
  <c r="G40" i="3"/>
  <c r="G78" i="3"/>
  <c r="G97" i="3"/>
  <c r="G130" i="3"/>
  <c r="G94" i="3"/>
  <c r="G106" i="3"/>
  <c r="G71" i="3"/>
  <c r="G80" i="3"/>
  <c r="G52" i="3"/>
  <c r="G58" i="3"/>
  <c r="G84" i="3"/>
  <c r="G110" i="3"/>
  <c r="G23" i="3"/>
  <c r="E8" i="3"/>
  <c r="E14" i="3"/>
  <c r="E24" i="3"/>
  <c r="E45" i="3"/>
  <c r="E49" i="3"/>
  <c r="E82" i="3"/>
  <c r="E5" i="3"/>
  <c r="E44" i="3"/>
  <c r="E50" i="3"/>
  <c r="E70" i="3"/>
  <c r="E58" i="3"/>
  <c r="E62" i="3"/>
  <c r="E73" i="3"/>
  <c r="E51" i="3"/>
  <c r="E65" i="3"/>
  <c r="E74" i="3"/>
  <c r="E36" i="3"/>
  <c r="G6" i="3"/>
  <c r="G28" i="3"/>
  <c r="G31" i="3"/>
  <c r="G4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0" i="3"/>
  <c r="F22" i="3"/>
  <c r="F24" i="3"/>
  <c r="F26" i="3"/>
  <c r="F27" i="3"/>
  <c r="F29" i="3"/>
  <c r="F31" i="3"/>
  <c r="F33" i="3"/>
  <c r="F35" i="3"/>
  <c r="F37" i="3"/>
  <c r="F39" i="3"/>
  <c r="F41" i="3"/>
  <c r="F43" i="3"/>
  <c r="F45" i="3"/>
  <c r="F47" i="3"/>
  <c r="F49" i="3"/>
  <c r="F51" i="3"/>
  <c r="F52" i="3"/>
  <c r="F54" i="3"/>
  <c r="F56" i="3"/>
  <c r="F58" i="3"/>
  <c r="F60" i="3"/>
  <c r="F62" i="3"/>
  <c r="F64" i="3"/>
  <c r="F66" i="3"/>
  <c r="F68" i="3"/>
  <c r="F70" i="3"/>
  <c r="F72" i="3"/>
  <c r="F74" i="3"/>
  <c r="F76" i="3"/>
  <c r="F78" i="3"/>
  <c r="F80" i="3"/>
  <c r="F82" i="3"/>
  <c r="F84" i="3"/>
  <c r="F86" i="3"/>
  <c r="F88" i="3"/>
  <c r="F90" i="3"/>
  <c r="F92" i="3"/>
  <c r="F94" i="3"/>
  <c r="F96" i="3"/>
  <c r="F137" i="3"/>
  <c r="F141" i="3"/>
  <c r="F144" i="3"/>
  <c r="F145" i="3"/>
  <c r="F147" i="3"/>
  <c r="F148" i="3"/>
  <c r="F150" i="3"/>
  <c r="C4" i="3"/>
  <c r="C10" i="3"/>
  <c r="C11" i="3"/>
  <c r="C14" i="3"/>
  <c r="C16" i="3"/>
  <c r="C19" i="3"/>
  <c r="C23" i="3"/>
  <c r="C27" i="3"/>
  <c r="C29" i="3"/>
  <c r="C32" i="3"/>
  <c r="C35" i="3"/>
  <c r="C37" i="3"/>
  <c r="C40" i="3"/>
  <c r="C43" i="3"/>
  <c r="C46" i="3"/>
  <c r="C48" i="3"/>
  <c r="C51" i="3"/>
  <c r="C59" i="3"/>
  <c r="C61" i="3"/>
  <c r="C63" i="3"/>
  <c r="C67" i="3"/>
  <c r="C69" i="3"/>
  <c r="C71" i="3"/>
  <c r="C78" i="3"/>
  <c r="C81" i="3"/>
  <c r="C84" i="3"/>
  <c r="C86" i="3"/>
  <c r="C89" i="3"/>
  <c r="C92" i="3"/>
  <c r="C96" i="3"/>
  <c r="C103" i="3"/>
  <c r="C110" i="3"/>
  <c r="C115" i="3"/>
  <c r="C124" i="3"/>
  <c r="C133" i="3"/>
  <c r="C136" i="3"/>
  <c r="C145" i="3"/>
  <c r="C148" i="3"/>
  <c r="C150" i="3"/>
  <c r="D99" i="3"/>
  <c r="D40" i="3"/>
  <c r="D102" i="3"/>
  <c r="D29" i="3"/>
  <c r="D44" i="3"/>
  <c r="D55" i="3"/>
  <c r="D69" i="3"/>
  <c r="D89" i="3"/>
  <c r="D95" i="3"/>
  <c r="D106" i="3"/>
  <c r="D111" i="3"/>
  <c r="D117" i="3"/>
  <c r="D123" i="3"/>
  <c r="E38" i="3"/>
  <c r="D4" i="3"/>
  <c r="D28" i="3"/>
  <c r="D30" i="3"/>
  <c r="D92" i="3"/>
  <c r="D98" i="3"/>
  <c r="D108" i="3"/>
  <c r="D114" i="3"/>
  <c r="D121" i="3"/>
  <c r="D126" i="3"/>
  <c r="E11" i="3"/>
  <c r="E15" i="3"/>
  <c r="E21" i="3"/>
  <c r="E27" i="3"/>
  <c r="E66" i="3"/>
  <c r="D6" i="3"/>
  <c r="D16" i="3"/>
  <c r="D23" i="3"/>
  <c r="D27" i="3"/>
  <c r="D39" i="3"/>
  <c r="D41" i="3"/>
  <c r="D47" i="3"/>
  <c r="D57" i="3"/>
  <c r="D68" i="3"/>
  <c r="D75" i="3"/>
  <c r="D77" i="3"/>
  <c r="D83" i="3"/>
  <c r="E32" i="3"/>
  <c r="E39" i="3"/>
  <c r="D10" i="3"/>
  <c r="D15" i="3"/>
  <c r="D20" i="3"/>
  <c r="D34" i="3"/>
  <c r="D42" i="3"/>
  <c r="D48" i="3"/>
  <c r="D60" i="3"/>
  <c r="D64" i="3"/>
  <c r="D74" i="3"/>
  <c r="D80" i="3"/>
  <c r="D82" i="3"/>
  <c r="D137" i="3"/>
  <c r="D148" i="3"/>
  <c r="D132" i="3"/>
  <c r="D144" i="3"/>
  <c r="D140" i="3"/>
  <c r="D145" i="3"/>
  <c r="D136" i="3"/>
  <c r="D146" i="3"/>
  <c r="E142" i="3"/>
  <c r="C5" i="3"/>
  <c r="C6" i="3"/>
  <c r="C7" i="3"/>
  <c r="C8" i="3"/>
  <c r="C13" i="3"/>
  <c r="C18" i="3"/>
  <c r="C26" i="3"/>
  <c r="C31" i="3"/>
  <c r="C34" i="3"/>
  <c r="C38" i="3"/>
  <c r="C42" i="3"/>
  <c r="C45" i="3"/>
  <c r="C50" i="3"/>
  <c r="C53" i="3"/>
  <c r="C55" i="3"/>
  <c r="C65" i="3"/>
  <c r="C68" i="3"/>
  <c r="C73" i="3"/>
  <c r="C76" i="3"/>
  <c r="C80" i="3"/>
  <c r="C83" i="3"/>
  <c r="C88" i="3"/>
  <c r="C90" i="3"/>
  <c r="C104" i="3"/>
  <c r="C107" i="3"/>
  <c r="C116" i="3"/>
  <c r="C144" i="3"/>
  <c r="C147" i="3"/>
  <c r="C151" i="3"/>
  <c r="D128" i="3"/>
  <c r="D7" i="3"/>
  <c r="D49" i="3"/>
  <c r="D59" i="3"/>
  <c r="D91" i="3"/>
  <c r="D97" i="3"/>
  <c r="D107" i="3"/>
  <c r="D113" i="3"/>
  <c r="D125" i="3"/>
  <c r="E40" i="3"/>
  <c r="D14" i="3"/>
  <c r="D88" i="3"/>
  <c r="D94" i="3"/>
  <c r="D103" i="3"/>
  <c r="D112" i="3"/>
  <c r="D118" i="3"/>
  <c r="E19" i="3"/>
  <c r="E25" i="3"/>
  <c r="E33" i="3"/>
  <c r="D9" i="3"/>
  <c r="D19" i="3"/>
  <c r="D25" i="3"/>
  <c r="D35" i="3"/>
  <c r="D45" i="3"/>
  <c r="D54" i="3"/>
  <c r="D63" i="3"/>
  <c r="D71" i="3"/>
  <c r="D79" i="3"/>
  <c r="E28" i="3"/>
  <c r="E34" i="3"/>
  <c r="D5" i="3"/>
  <c r="D17" i="3"/>
  <c r="D26" i="3"/>
  <c r="D36" i="3"/>
  <c r="D46" i="3"/>
  <c r="D56" i="3"/>
  <c r="D62" i="3"/>
  <c r="D70" i="3"/>
  <c r="D76" i="3"/>
  <c r="D84" i="3"/>
  <c r="D130" i="3"/>
  <c r="D138" i="3"/>
  <c r="D139" i="3"/>
  <c r="D135" i="3"/>
  <c r="D151" i="3"/>
  <c r="D143" i="3"/>
  <c r="D150" i="3"/>
  <c r="E4" i="3"/>
  <c r="F19" i="3"/>
  <c r="F21" i="3"/>
  <c r="F23" i="3"/>
  <c r="F25" i="3"/>
  <c r="F28" i="3"/>
  <c r="F30" i="3"/>
  <c r="F32" i="3"/>
  <c r="F34" i="3"/>
  <c r="F36" i="3"/>
  <c r="F38" i="3"/>
  <c r="F40" i="3"/>
  <c r="F42" i="3"/>
  <c r="F44" i="3"/>
  <c r="F46" i="3"/>
  <c r="F48" i="3"/>
  <c r="F50" i="3"/>
  <c r="F53" i="3"/>
  <c r="F55" i="3"/>
  <c r="F57" i="3"/>
  <c r="F59" i="3"/>
  <c r="F61" i="3"/>
  <c r="F63" i="3"/>
  <c r="F65" i="3"/>
  <c r="F67" i="3"/>
  <c r="F69" i="3"/>
  <c r="F71" i="3"/>
  <c r="F73" i="3"/>
  <c r="F75" i="3"/>
  <c r="F77" i="3"/>
  <c r="F79" i="3"/>
  <c r="F81" i="3"/>
  <c r="F83" i="3"/>
  <c r="F85" i="3"/>
  <c r="F87" i="3"/>
  <c r="F89" i="3"/>
  <c r="F91" i="3"/>
  <c r="F93" i="3"/>
  <c r="F95" i="3"/>
  <c r="F131" i="3"/>
  <c r="F139" i="3"/>
  <c r="F143" i="3"/>
  <c r="F146" i="3"/>
  <c r="F149" i="3"/>
  <c r="F151" i="3"/>
  <c r="D122" i="3"/>
  <c r="C9" i="3"/>
  <c r="C12" i="3"/>
  <c r="C15" i="3"/>
  <c r="C17" i="3"/>
  <c r="C20" i="3"/>
  <c r="C21" i="3"/>
  <c r="C22" i="3"/>
  <c r="C24" i="3"/>
  <c r="C25" i="3"/>
  <c r="C28" i="3"/>
  <c r="C30" i="3"/>
  <c r="C33" i="3"/>
  <c r="C36" i="3"/>
  <c r="C39" i="3"/>
  <c r="C41" i="3"/>
  <c r="C44" i="3"/>
  <c r="C47" i="3"/>
  <c r="C49" i="3"/>
  <c r="C52" i="3"/>
  <c r="C54" i="3"/>
  <c r="C56" i="3"/>
  <c r="C57" i="3"/>
  <c r="C60" i="3"/>
  <c r="C62" i="3"/>
  <c r="C64" i="3"/>
  <c r="C66" i="3"/>
  <c r="C70" i="3"/>
  <c r="C72" i="3"/>
  <c r="C74" i="3"/>
  <c r="C77" i="3"/>
  <c r="C79" i="3"/>
  <c r="C82" i="3"/>
  <c r="C85" i="3"/>
  <c r="C87" i="3"/>
  <c r="C91" i="3"/>
  <c r="C93" i="3"/>
  <c r="C99" i="3"/>
  <c r="C102" i="3"/>
  <c r="C119" i="3"/>
  <c r="C127" i="3"/>
  <c r="C130" i="3"/>
  <c r="C134" i="3"/>
  <c r="C139" i="3"/>
  <c r="C143" i="3"/>
  <c r="C146" i="3"/>
  <c r="C149" i="3"/>
  <c r="D24" i="3"/>
  <c r="D100" i="3"/>
  <c r="D104" i="3"/>
  <c r="D31" i="3"/>
  <c r="D51" i="3"/>
  <c r="D67" i="3"/>
  <c r="D87" i="3"/>
  <c r="D93" i="3"/>
  <c r="D101" i="3"/>
  <c r="D109" i="3"/>
  <c r="D115" i="3"/>
  <c r="D119" i="3"/>
  <c r="D127" i="3"/>
  <c r="D12" i="3"/>
  <c r="D18" i="3"/>
  <c r="D50" i="3"/>
  <c r="D90" i="3"/>
  <c r="D96" i="3"/>
  <c r="D105" i="3"/>
  <c r="D110" i="3"/>
  <c r="D116" i="3"/>
  <c r="D124" i="3"/>
  <c r="D129" i="3"/>
  <c r="E13" i="3"/>
  <c r="E17" i="3"/>
  <c r="E23" i="3"/>
  <c r="E29" i="3"/>
  <c r="E31" i="3"/>
  <c r="E68" i="3"/>
  <c r="D3" i="3"/>
  <c r="D11" i="3"/>
  <c r="D21" i="3"/>
  <c r="D33" i="3"/>
  <c r="D37" i="3"/>
  <c r="D43" i="3"/>
  <c r="D52" i="3"/>
  <c r="D61" i="3"/>
  <c r="D65" i="3"/>
  <c r="D73" i="3"/>
  <c r="D81" i="3"/>
  <c r="D85" i="3"/>
  <c r="E3" i="3"/>
  <c r="E20" i="3"/>
  <c r="E30" i="3"/>
  <c r="E84" i="3"/>
  <c r="D8" i="3"/>
  <c r="D13" i="3"/>
  <c r="D22" i="3"/>
  <c r="D32" i="3"/>
  <c r="D38" i="3"/>
  <c r="D53" i="3"/>
  <c r="D58" i="3"/>
  <c r="D66" i="3"/>
  <c r="D72" i="3"/>
  <c r="D78" i="3"/>
  <c r="D86" i="3"/>
  <c r="D131" i="3"/>
  <c r="D142" i="3"/>
  <c r="D133" i="3"/>
  <c r="D134" i="3"/>
  <c r="D141" i="3"/>
  <c r="D147" i="3"/>
  <c r="D149" i="3"/>
  <c r="E137" i="3"/>
  <c r="E148" i="3"/>
  <c r="D120" i="3"/>
  <c r="F101" i="3"/>
  <c r="F106" i="3"/>
  <c r="F111" i="3"/>
  <c r="F114" i="3"/>
  <c r="F119" i="3"/>
  <c r="F122" i="3"/>
  <c r="F127" i="3"/>
  <c r="F130" i="3"/>
  <c r="F135" i="3"/>
  <c r="F142" i="3"/>
  <c r="F100" i="3"/>
  <c r="F104" i="3"/>
  <c r="F109" i="3"/>
  <c r="F112" i="3"/>
  <c r="F116" i="3"/>
  <c r="F120" i="3"/>
  <c r="F124" i="3"/>
  <c r="F128" i="3"/>
  <c r="F132" i="3"/>
  <c r="F136" i="3"/>
  <c r="F140" i="3"/>
  <c r="F97" i="3"/>
  <c r="G8" i="3"/>
  <c r="F99" i="3"/>
  <c r="F105" i="3"/>
  <c r="F108" i="3"/>
  <c r="F113" i="3"/>
  <c r="F117" i="3"/>
  <c r="F121" i="3"/>
  <c r="F125" i="3"/>
  <c r="F129" i="3"/>
  <c r="F133" i="3"/>
  <c r="G7" i="3"/>
  <c r="G9" i="3"/>
  <c r="G15" i="3"/>
  <c r="G16" i="3"/>
  <c r="G24" i="3"/>
  <c r="G102" i="3"/>
  <c r="F98" i="3"/>
  <c r="F102" i="3"/>
  <c r="F103" i="3"/>
  <c r="F107" i="3"/>
  <c r="F110" i="3"/>
  <c r="F115" i="3"/>
  <c r="F118" i="3"/>
  <c r="F123" i="3"/>
  <c r="F126" i="3"/>
  <c r="F134" i="3"/>
  <c r="F13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43BC7A-6A5C-4EDA-AB5E-B04715A968D5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<sst xmlns="http://schemas.openxmlformats.org/spreadsheetml/2006/main" count="4744" uniqueCount="437">
  <si>
    <t>No</t>
  </si>
  <si>
    <t>High</t>
  </si>
  <si>
    <t>Eskom grid</t>
  </si>
  <si>
    <t>Yes</t>
  </si>
  <si>
    <t>No Certificate</t>
  </si>
  <si>
    <t>Defaulted</t>
  </si>
  <si>
    <t>MAFISA</t>
  </si>
  <si>
    <t>Unknown</t>
  </si>
  <si>
    <t>Leased</t>
  </si>
  <si>
    <t>Informal</t>
  </si>
  <si>
    <t>18-30</t>
  </si>
  <si>
    <t>Female</t>
  </si>
  <si>
    <t>citrus</t>
  </si>
  <si>
    <t>Rural</t>
  </si>
  <si>
    <t>Kanoneiland</t>
  </si>
  <si>
    <t>Northern Cape</t>
  </si>
  <si>
    <t>Andile Green</t>
  </si>
  <si>
    <t>SME0150</t>
  </si>
  <si>
    <t>Solar</t>
  </si>
  <si>
    <t>In Arrears</t>
  </si>
  <si>
    <t>State land</t>
  </si>
  <si>
    <t>Registered</t>
  </si>
  <si>
    <t>Male</t>
  </si>
  <si>
    <t>onions</t>
  </si>
  <si>
    <t>Small town</t>
  </si>
  <si>
    <t>Upington</t>
  </si>
  <si>
    <t>Sunrise Fields</t>
  </si>
  <si>
    <t>SME0149</t>
  </si>
  <si>
    <t>No Loan</t>
  </si>
  <si>
    <t>41-50</t>
  </si>
  <si>
    <t>Themba Fresh</t>
  </si>
  <si>
    <t>SME0148</t>
  </si>
  <si>
    <t>Low</t>
  </si>
  <si>
    <t>Checkers Good Farming</t>
  </si>
  <si>
    <t>Owned</t>
  </si>
  <si>
    <t>31-40</t>
  </si>
  <si>
    <t>Tshivhase Silver</t>
  </si>
  <si>
    <t>SME0147</t>
  </si>
  <si>
    <t>Peri-urban</t>
  </si>
  <si>
    <t>Keimoes</t>
  </si>
  <si>
    <t>Golden Fontein</t>
  </si>
  <si>
    <t>SME0146</t>
  </si>
  <si>
    <t>Agri-BEE</t>
  </si>
  <si>
    <t>pumpkin</t>
  </si>
  <si>
    <t>Amathole</t>
  </si>
  <si>
    <t>Eastern Cape</t>
  </si>
  <si>
    <t>New Farm</t>
  </si>
  <si>
    <t>SME0145</t>
  </si>
  <si>
    <t>Medium</t>
  </si>
  <si>
    <t>Current</t>
  </si>
  <si>
    <t>None</t>
  </si>
  <si>
    <t>51-60</t>
  </si>
  <si>
    <t>Mupo Rainbow</t>
  </si>
  <si>
    <t>SME0144</t>
  </si>
  <si>
    <t>Generator</t>
  </si>
  <si>
    <t>Communal</t>
  </si>
  <si>
    <t>cabbage</t>
  </si>
  <si>
    <t>Fort Beaufort</t>
  </si>
  <si>
    <t>Themba Ridge</t>
  </si>
  <si>
    <t>SME0143</t>
  </si>
  <si>
    <t>LRAD</t>
  </si>
  <si>
    <t>60+</t>
  </si>
  <si>
    <t>green pepper</t>
  </si>
  <si>
    <t>Lentswe Rainbow</t>
  </si>
  <si>
    <t>SME0142</t>
  </si>
  <si>
    <t>Settled</t>
  </si>
  <si>
    <t>spinach</t>
  </si>
  <si>
    <t>Cofimvaba</t>
  </si>
  <si>
    <t>Green Fontein</t>
  </si>
  <si>
    <t>SME0141</t>
  </si>
  <si>
    <t>Kopano Themba</t>
  </si>
  <si>
    <t>SME0140</t>
  </si>
  <si>
    <t>DTIC</t>
  </si>
  <si>
    <t>Old Boerdery</t>
  </si>
  <si>
    <t>SME0139</t>
  </si>
  <si>
    <t>Silver Boerdery</t>
  </si>
  <si>
    <t>SME0138</t>
  </si>
  <si>
    <t>Sunrise Fontein</t>
  </si>
  <si>
    <t>SME0137</t>
  </si>
  <si>
    <t>CASP</t>
  </si>
  <si>
    <t>Tsebo Silver</t>
  </si>
  <si>
    <t>SME0136</t>
  </si>
  <si>
    <t>carrots</t>
  </si>
  <si>
    <t>Thaba Nchu</t>
  </si>
  <si>
    <t>Free State</t>
  </si>
  <si>
    <t>Old Valley</t>
  </si>
  <si>
    <t>SME0135</t>
  </si>
  <si>
    <t>Dewetsdorp</t>
  </si>
  <si>
    <t>Kopano Ubuntu</t>
  </si>
  <si>
    <t>SME0134</t>
  </si>
  <si>
    <t>Zastron</t>
  </si>
  <si>
    <t>Tsebo Heritage</t>
  </si>
  <si>
    <t>SME0133</t>
  </si>
  <si>
    <t>Lentswe Thando</t>
  </si>
  <si>
    <t>SME0132</t>
  </si>
  <si>
    <t>potatoes</t>
  </si>
  <si>
    <t>Mupo Silver</t>
  </si>
  <si>
    <t>SME0131</t>
  </si>
  <si>
    <t>beetroot</t>
  </si>
  <si>
    <t>Amandla Old</t>
  </si>
  <si>
    <t>SME0130</t>
  </si>
  <si>
    <t>Heritage Boerdery</t>
  </si>
  <si>
    <t>SME0129</t>
  </si>
  <si>
    <t>SME0128</t>
  </si>
  <si>
    <t>Mupo Themba</t>
  </si>
  <si>
    <t>SME0127</t>
  </si>
  <si>
    <t>Blue Boerdery</t>
  </si>
  <si>
    <t>SME0126</t>
  </si>
  <si>
    <t>Sunrise Fresh</t>
  </si>
  <si>
    <t>SME0125</t>
  </si>
  <si>
    <t>Lentswe Green</t>
  </si>
  <si>
    <t>SME0124</t>
  </si>
  <si>
    <t>Tsebo New</t>
  </si>
  <si>
    <t>SME0123</t>
  </si>
  <si>
    <t>Sunrise Green</t>
  </si>
  <si>
    <t>SME0122</t>
  </si>
  <si>
    <t>Ubuntu Laan</t>
  </si>
  <si>
    <t>SME0121</t>
  </si>
  <si>
    <t>SIZA</t>
  </si>
  <si>
    <t>Moretele</t>
  </si>
  <si>
    <t>North West</t>
  </si>
  <si>
    <t>Mupo Old</t>
  </si>
  <si>
    <t>SME0120</t>
  </si>
  <si>
    <t>tomatoes</t>
  </si>
  <si>
    <t>Rustenburg surrounds</t>
  </si>
  <si>
    <t>Silver Green</t>
  </si>
  <si>
    <t>SME0119</t>
  </si>
  <si>
    <t>Tsebo Red</t>
  </si>
  <si>
    <t>SME0118</t>
  </si>
  <si>
    <t>Woolworths TNC</t>
  </si>
  <si>
    <t>Khula Golden</t>
  </si>
  <si>
    <t>SME0117</t>
  </si>
  <si>
    <t>Brits</t>
  </si>
  <si>
    <t>SME0116</t>
  </si>
  <si>
    <t>Fairtrade</t>
  </si>
  <si>
    <t>sweet potato</t>
  </si>
  <si>
    <t>Blue Plaas</t>
  </si>
  <si>
    <t>SME0115</t>
  </si>
  <si>
    <t>GlobalG.A.P.</t>
  </si>
  <si>
    <t>Old Farm</t>
  </si>
  <si>
    <t>SME0114</t>
  </si>
  <si>
    <t>Tsebo Green</t>
  </si>
  <si>
    <t>SME0113</t>
  </si>
  <si>
    <t>Organic (CERES)</t>
  </si>
  <si>
    <t>Silver Fresh</t>
  </si>
  <si>
    <t>SME0112</t>
  </si>
  <si>
    <t>Golden Ridge</t>
  </si>
  <si>
    <t>SME0111</t>
  </si>
  <si>
    <t>Golden Farm</t>
  </si>
  <si>
    <t>SME0110</t>
  </si>
  <si>
    <t>Siyanda Siyabonga</t>
  </si>
  <si>
    <t>SME0109</t>
  </si>
  <si>
    <t>Rainbow Valley</t>
  </si>
  <si>
    <t>SME0108</t>
  </si>
  <si>
    <t>Andile Farm</t>
  </si>
  <si>
    <t>SME0107</t>
  </si>
  <si>
    <t>Khula Sunrise</t>
  </si>
  <si>
    <t>SME0106</t>
  </si>
  <si>
    <t>herbs</t>
  </si>
  <si>
    <t>Sedibeng</t>
  </si>
  <si>
    <t>Gauteng</t>
  </si>
  <si>
    <t>Vhembe Silver</t>
  </si>
  <si>
    <t>SME0105</t>
  </si>
  <si>
    <t>Westonaria</t>
  </si>
  <si>
    <t>Sunrise Laan</t>
  </si>
  <si>
    <t>SME0104</t>
  </si>
  <si>
    <t>baby vegetables</t>
  </si>
  <si>
    <t>Tshwane peri-urban</t>
  </si>
  <si>
    <t>Ubuntu Ridge</t>
  </si>
  <si>
    <t>SME0103</t>
  </si>
  <si>
    <t>Tlhaga Siyabonga</t>
  </si>
  <si>
    <t>SME0102</t>
  </si>
  <si>
    <t>Khula Silver</t>
  </si>
  <si>
    <t>SME0101</t>
  </si>
  <si>
    <t>Thando Green</t>
  </si>
  <si>
    <t>SME0100</t>
  </si>
  <si>
    <t>Sunrise Ridge</t>
  </si>
  <si>
    <t>SME0099</t>
  </si>
  <si>
    <t>Amandla Morning</t>
  </si>
  <si>
    <t>SME0098</t>
  </si>
  <si>
    <t>Tshivhase Morning</t>
  </si>
  <si>
    <t>SME0097</t>
  </si>
  <si>
    <t>Ubuntu Hoek</t>
  </si>
  <si>
    <t>SME0096</t>
  </si>
  <si>
    <t>Izifundo Silver</t>
  </si>
  <si>
    <t>SME0095</t>
  </si>
  <si>
    <t>bananas</t>
  </si>
  <si>
    <t>SME0094</t>
  </si>
  <si>
    <t>Siyanda Blue</t>
  </si>
  <si>
    <t>SME0093</t>
  </si>
  <si>
    <t>N/A</t>
  </si>
  <si>
    <t>Rainbow Fields</t>
  </si>
  <si>
    <t>SME0092</t>
  </si>
  <si>
    <t>Lentswe Golden</t>
  </si>
  <si>
    <t>SME0091</t>
  </si>
  <si>
    <t>green beans</t>
  </si>
  <si>
    <t>Bergville</t>
  </si>
  <si>
    <t>KwaZulu-Natal</t>
  </si>
  <si>
    <t>New Fontein</t>
  </si>
  <si>
    <t>SME0090</t>
  </si>
  <si>
    <t>Blue Farm</t>
  </si>
  <si>
    <t>SME0089</t>
  </si>
  <si>
    <t>butternut</t>
  </si>
  <si>
    <t xml:space="preserve">Rural </t>
  </si>
  <si>
    <t>Greytown</t>
  </si>
  <si>
    <t>SME0088</t>
  </si>
  <si>
    <t>Camperdown</t>
  </si>
  <si>
    <t>Tshivhase Themba</t>
  </si>
  <si>
    <t>SME0087</t>
  </si>
  <si>
    <t>Thando Laan</t>
  </si>
  <si>
    <t>SME0086</t>
  </si>
  <si>
    <t>Rainbow Hoek</t>
  </si>
  <si>
    <t>SME0085</t>
  </si>
  <si>
    <t>SME0084</t>
  </si>
  <si>
    <t>SME0083</t>
  </si>
  <si>
    <t>Midlands</t>
  </si>
  <si>
    <t>Vhembe Green</t>
  </si>
  <si>
    <t>SME0082</t>
  </si>
  <si>
    <t>Blue Fresh</t>
  </si>
  <si>
    <t>SME0081</t>
  </si>
  <si>
    <t>avocados</t>
  </si>
  <si>
    <t>Thando Farm</t>
  </si>
  <si>
    <t>SME0080</t>
  </si>
  <si>
    <t>Andile Plaas</t>
  </si>
  <si>
    <t>SME0079</t>
  </si>
  <si>
    <t>Thando Plaas</t>
  </si>
  <si>
    <t>SME0078</t>
  </si>
  <si>
    <t>SME0077</t>
  </si>
  <si>
    <t>Khula Rainbow</t>
  </si>
  <si>
    <t>SME0076</t>
  </si>
  <si>
    <t>Tlhaga Red</t>
  </si>
  <si>
    <t>SME0075</t>
  </si>
  <si>
    <t>SME0074</t>
  </si>
  <si>
    <t>Siyanda Themba</t>
  </si>
  <si>
    <t>SME0073</t>
  </si>
  <si>
    <t>Lentswe New</t>
  </si>
  <si>
    <t>SME0072</t>
  </si>
  <si>
    <t>New Green</t>
  </si>
  <si>
    <t>SME0071</t>
  </si>
  <si>
    <t>Nelspruit</t>
  </si>
  <si>
    <t>Mpumalanga</t>
  </si>
  <si>
    <t>Siyanda New</t>
  </si>
  <si>
    <t>SME0070</t>
  </si>
  <si>
    <t>Lydenburg</t>
  </si>
  <si>
    <t>SME0069</t>
  </si>
  <si>
    <t>Green Laan</t>
  </si>
  <si>
    <t>SME0068</t>
  </si>
  <si>
    <t>SME0067</t>
  </si>
  <si>
    <t>Silver Ridge</t>
  </si>
  <si>
    <t>SME0066</t>
  </si>
  <si>
    <t>Hazyview</t>
  </si>
  <si>
    <t>Amandla Sunrise</t>
  </si>
  <si>
    <t>SME0065</t>
  </si>
  <si>
    <t>subtropical fruit</t>
  </si>
  <si>
    <t>Thando Hoek</t>
  </si>
  <si>
    <t>SME0064</t>
  </si>
  <si>
    <t>New Plaas</t>
  </si>
  <si>
    <t>SME0063</t>
  </si>
  <si>
    <t>SME0062</t>
  </si>
  <si>
    <t>Siyanda Thando</t>
  </si>
  <si>
    <t>SME0061</t>
  </si>
  <si>
    <t>Andile Laan</t>
  </si>
  <si>
    <t>SME0060</t>
  </si>
  <si>
    <t>Red Plaas</t>
  </si>
  <si>
    <t>SME0059</t>
  </si>
  <si>
    <t>Tlhaga New</t>
  </si>
  <si>
    <t>SME0058</t>
  </si>
  <si>
    <t>SME0057</t>
  </si>
  <si>
    <t>White River</t>
  </si>
  <si>
    <t>SME0056</t>
  </si>
  <si>
    <t>SME0055</t>
  </si>
  <si>
    <t>Siyabonga Boerdery</t>
  </si>
  <si>
    <t>SME0054</t>
  </si>
  <si>
    <t>Golden Green</t>
  </si>
  <si>
    <t>SME0053</t>
  </si>
  <si>
    <t>SME0052</t>
  </si>
  <si>
    <t>Amandla New</t>
  </si>
  <si>
    <t>SME0051</t>
  </si>
  <si>
    <t>Levubu</t>
  </si>
  <si>
    <t>Limpopo</t>
  </si>
  <si>
    <t>Morning Laan</t>
  </si>
  <si>
    <t>SME0050</t>
  </si>
  <si>
    <t>litchis</t>
  </si>
  <si>
    <t>SME0049</t>
  </si>
  <si>
    <t>Letsitele</t>
  </si>
  <si>
    <t>Red Fontein</t>
  </si>
  <si>
    <t>SME0048</t>
  </si>
  <si>
    <t>mangoes</t>
  </si>
  <si>
    <t>Tzaneen</t>
  </si>
  <si>
    <t>Siyanda Andile</t>
  </si>
  <si>
    <t>SME0047</t>
  </si>
  <si>
    <t>Tshivhase New</t>
  </si>
  <si>
    <t>SME0046</t>
  </si>
  <si>
    <t>Khula Themba</t>
  </si>
  <si>
    <t>SME0045</t>
  </si>
  <si>
    <t>Themba Vlei</t>
  </si>
  <si>
    <t>SME0044</t>
  </si>
  <si>
    <t>Tshivhase Red</t>
  </si>
  <si>
    <t>SME0043</t>
  </si>
  <si>
    <t>Bela-Bela</t>
  </si>
  <si>
    <t>SME0042</t>
  </si>
  <si>
    <t>Tshivhase Old</t>
  </si>
  <si>
    <t>SME0041</t>
  </si>
  <si>
    <t>Mupo Siyabonga</t>
  </si>
  <si>
    <t>SME0040</t>
  </si>
  <si>
    <t>SME0039</t>
  </si>
  <si>
    <t>SME0038</t>
  </si>
  <si>
    <t>Tlhaga Blue</t>
  </si>
  <si>
    <t>SME0037</t>
  </si>
  <si>
    <t>Tsebo Golden</t>
  </si>
  <si>
    <t>SME0036</t>
  </si>
  <si>
    <t>SME0035</t>
  </si>
  <si>
    <t>Kopano Blue</t>
  </si>
  <si>
    <t>SME0034</t>
  </si>
  <si>
    <t>Lentswe Morning</t>
  </si>
  <si>
    <t>SME0033</t>
  </si>
  <si>
    <t>Andile Hoek</t>
  </si>
  <si>
    <t>SME0032</t>
  </si>
  <si>
    <t>SME0031</t>
  </si>
  <si>
    <t>Amandla Green</t>
  </si>
  <si>
    <t>SME0030</t>
  </si>
  <si>
    <t>Morning Ridge</t>
  </si>
  <si>
    <t>SME0029</t>
  </si>
  <si>
    <t>Mashamba Rainbow</t>
  </si>
  <si>
    <t>SME0028</t>
  </si>
  <si>
    <t>Themba Laan</t>
  </si>
  <si>
    <t>SME0027</t>
  </si>
  <si>
    <t>Tshivhase Heritage</t>
  </si>
  <si>
    <t>SME0026</t>
  </si>
  <si>
    <t>table grapes</t>
  </si>
  <si>
    <t>Ceres</t>
  </si>
  <si>
    <t>Western Cape</t>
  </si>
  <si>
    <t>Izifundo Themba</t>
  </si>
  <si>
    <t>SME0025</t>
  </si>
  <si>
    <t>plums</t>
  </si>
  <si>
    <t>Vhembe Ubuntu</t>
  </si>
  <si>
    <t>SME0024</t>
  </si>
  <si>
    <t>apples</t>
  </si>
  <si>
    <t>Hex River Valley</t>
  </si>
  <si>
    <t>Lentswe Themba</t>
  </si>
  <si>
    <t>SME0023</t>
  </si>
  <si>
    <t>Villiersdorp</t>
  </si>
  <si>
    <t>Silver Valley</t>
  </si>
  <si>
    <t>SME0022</t>
  </si>
  <si>
    <t>peaches</t>
  </si>
  <si>
    <t>Grabouw</t>
  </si>
  <si>
    <t>SME0021</t>
  </si>
  <si>
    <t>Themba Fields</t>
  </si>
  <si>
    <t>SME0020</t>
  </si>
  <si>
    <t>Mupo Blue</t>
  </si>
  <si>
    <t>SME0019</t>
  </si>
  <si>
    <t>Mupo Green</t>
  </si>
  <si>
    <t>SME0018</t>
  </si>
  <si>
    <t>Tshivhase Siyabonga</t>
  </si>
  <si>
    <t>SME0017</t>
  </si>
  <si>
    <t>Sunrise Plaas</t>
  </si>
  <si>
    <t>SME0016</t>
  </si>
  <si>
    <t>Tlhaga Thando</t>
  </si>
  <si>
    <t>SME0015</t>
  </si>
  <si>
    <t>Mupo Thando</t>
  </si>
  <si>
    <t>SME0014</t>
  </si>
  <si>
    <t>Lentswe Sunrise</t>
  </si>
  <si>
    <t>SME0013</t>
  </si>
  <si>
    <t>SME0012</t>
  </si>
  <si>
    <t>Siyabonga Plaas</t>
  </si>
  <si>
    <t>SME0011</t>
  </si>
  <si>
    <t>Green Valley</t>
  </si>
  <si>
    <t>SME0010</t>
  </si>
  <si>
    <t>SME0009</t>
  </si>
  <si>
    <t>Ubuntu Plaas</t>
  </si>
  <si>
    <t>SME0008</t>
  </si>
  <si>
    <t>Amandla Golden</t>
  </si>
  <si>
    <t>SME0007</t>
  </si>
  <si>
    <t>SME0006</t>
  </si>
  <si>
    <t>SME0005</t>
  </si>
  <si>
    <t>pears</t>
  </si>
  <si>
    <t>SME0004</t>
  </si>
  <si>
    <t>Vhembe Red</t>
  </si>
  <si>
    <t>SME0003</t>
  </si>
  <si>
    <t>Tlhaga Morning</t>
  </si>
  <si>
    <t>SME0002</t>
  </si>
  <si>
    <t>Thando Boerdery</t>
  </si>
  <si>
    <t>SME0001</t>
  </si>
  <si>
    <t>sources_from_women_farmers</t>
  </si>
  <si>
    <t>pct_hdi_employees</t>
  </si>
  <si>
    <t>pct_youth_employees</t>
  </si>
  <si>
    <t>pct_women_workforce</t>
  </si>
  <si>
    <t>pct_women_leadership</t>
  </si>
  <si>
    <t>income_seasonality_risk</t>
  </si>
  <si>
    <t>energy_mitigation_present</t>
  </si>
  <si>
    <t>loadshedding_days_per_month</t>
  </si>
  <si>
    <t>electricity_source</t>
  </si>
  <si>
    <t>irrigation_present</t>
  </si>
  <si>
    <t>environmental_shocks_12mo</t>
  </si>
  <si>
    <t>drought_events_5yr</t>
  </si>
  <si>
    <t>export_readiness</t>
  </si>
  <si>
    <t>certification_status</t>
  </si>
  <si>
    <t>debt_to_revenue_ratio</t>
  </si>
  <si>
    <t>loan_repayment_status</t>
  </si>
  <si>
    <t>outstanding_loan_amount_zar</t>
  </si>
  <si>
    <t>gross_margin_pct</t>
  </si>
  <si>
    <t>unit_cost_per_kg_zar</t>
  </si>
  <si>
    <t>avg_price_per_kg_zar</t>
  </si>
  <si>
    <t>formal_offtake_contracts</t>
  </si>
  <si>
    <t>num_buyers</t>
  </si>
  <si>
    <t>distance_to_market_km</t>
  </si>
  <si>
    <t>cold_chain_capacity</t>
  </si>
  <si>
    <t>storage_access</t>
  </si>
  <si>
    <t>post_harvest_loss_pct</t>
  </si>
  <si>
    <t>production_diversity_count</t>
  </si>
  <si>
    <t>yoy_production_change_pct</t>
  </si>
  <si>
    <t>annual_production_volume_kg</t>
  </si>
  <si>
    <t>previous_grant_or_investment</t>
  </si>
  <si>
    <t>title_deed</t>
  </si>
  <si>
    <t>land_ownership_type</t>
  </si>
  <si>
    <t>separate_bank_account</t>
  </si>
  <si>
    <t>financial_statements_prepared</t>
  </si>
  <si>
    <t>business_registration_status</t>
  </si>
  <si>
    <t>owner_age_range</t>
  </si>
  <si>
    <t>owner_gender</t>
  </si>
  <si>
    <t>num_employees</t>
  </si>
  <si>
    <t>years_in_operation</t>
  </si>
  <si>
    <t>primary_crop</t>
  </si>
  <si>
    <t>setting</t>
  </si>
  <si>
    <t>local_municipality</t>
  </si>
  <si>
    <t>province</t>
  </si>
  <si>
    <t>sme_name</t>
  </si>
  <si>
    <t>sme_id</t>
  </si>
  <si>
    <t xml:space="preserve">Governance &amp; Identity </t>
  </si>
  <si>
    <r>
      <rPr>
        <sz val="11"/>
        <color theme="1"/>
        <rFont val="Aptos Narrow"/>
        <family val="2"/>
        <scheme val="minor"/>
      </rPr>
      <t>Production Capacity</t>
    </r>
    <r>
      <rPr>
        <sz val="11"/>
        <color theme="1"/>
        <rFont val="Calibri"/>
        <family val="2"/>
      </rPr>
      <t xml:space="preserve"> </t>
    </r>
  </si>
  <si>
    <t xml:space="preserve">Market Access &amp; Financial Viability </t>
  </si>
  <si>
    <t xml:space="preserve">Climate &amp; Shock Resilience </t>
  </si>
  <si>
    <t xml:space="preserve">Social Impact &amp; Gender Inclusion </t>
  </si>
  <si>
    <t xml:space="preserve">Production Capacity </t>
  </si>
  <si>
    <t>Final Score</t>
  </si>
  <si>
    <t>Rank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</si>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</sst>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F6F35C7-8AC4-47FE-A482-A4665EFA336D}" autoFormatId="16" applyNumberFormats="0" applyBorderFormats="0" applyFontFormats="0" applyPatternFormats="0" applyAlignmentFormats="0" applyWidthHeightFormats="0">
  <queryTableRefresh nextId="55">
    <queryTableFields count="45">
      <queryTableField id="1" name="sme_id" tableColumnId="1"/>
      <queryTableField id="2" name="sme_name" tableColumnId="2"/>
      <queryTableField id="3" name="province" tableColumnId="3"/>
      <queryTableField id="4" name="local_municipality" tableColumnId="4"/>
      <queryTableField id="5" name="setting" tableColumnId="5"/>
      <queryTableField id="6" name="primary_crop" tableColumnId="6"/>
      <queryTableField id="7" name="years_in_operation" tableColumnId="7"/>
      <queryTableField id="8" name="num_employees" tableColumnId="8"/>
      <queryTableField id="9" name="owner_gender" tableColumnId="9"/>
      <queryTableField id="10" name="owner_age_range" tableColumnId="10"/>
      <queryTableField id="11" name="business_registration_status" tableColumnId="11"/>
      <queryTableField id="12" name="financial_statements_prepared" tableColumnId="12"/>
      <queryTableField id="13" name="separate_bank_account" tableColumnId="13"/>
      <queryTableField id="14" name="land_ownership_type" tableColumnId="14"/>
      <queryTableField id="15" name="title_deed" tableColumnId="15"/>
      <queryTableField id="16" name="previous_grant_or_investment" tableColumnId="16"/>
      <queryTableField id="17" name="annual_production_volume_kg" tableColumnId="17"/>
      <queryTableField id="18" name="yoy_production_change_pct" tableColumnId="18"/>
      <queryTableField id="19" name="production_diversity_count" tableColumnId="19"/>
      <queryTableField id="20" name="post_harvest_loss_pct" tableColumnId="20"/>
      <queryTableField id="21" name="storage_access" tableColumnId="21"/>
      <queryTableField id="22" name="cold_chain_capacity" tableColumnId="22"/>
      <queryTableField id="23" name="distance_to_market_km" tableColumnId="23"/>
      <queryTableField id="24" name="num_buyers" tableColumnId="24"/>
      <queryTableField id="25" name="formal_offtake_contracts" tableColumnId="25"/>
      <queryTableField id="26" name="avg_price_per_kg_zar" tableColumnId="26"/>
      <queryTableField id="27" name="unit_cost_per_kg_zar" tableColumnId="27"/>
      <queryTableField id="29" name="Column1" tableColumnId="29"/>
      <queryTableField id="52" dataBound="0" tableColumnId="52"/>
      <queryTableField id="32" name="loan_repayment_status" tableColumnId="32"/>
      <queryTableField id="54" dataBound="0" tableColumnId="54"/>
      <queryTableField id="34" name="certification_status" tableColumnId="34"/>
      <queryTableField id="35" name="export_readiness" tableColumnId="35"/>
      <queryTableField id="36" name="drought_events_5yr" tableColumnId="36"/>
      <queryTableField id="37" name="environmental_shocks_12mo" tableColumnId="37"/>
      <queryTableField id="38" name="irrigation_present" tableColumnId="38"/>
      <queryTableField id="39" name="electricity_source" tableColumnId="39"/>
      <queryTableField id="40" name="loadshedding_days_per_month" tableColumnId="40"/>
      <queryTableField id="41" name="energy_mitigation_present" tableColumnId="41"/>
      <queryTableField id="42" name="income_seasonality_risk" tableColumnId="42"/>
      <queryTableField id="43" name="pct_women_leadership" tableColumnId="43"/>
      <queryTableField id="44" name="pct_women_workforce" tableColumnId="44"/>
      <queryTableField id="45" name="pct_youth_employees" tableColumnId="45"/>
      <queryTableField id="46" name="pct_hdi_employees" tableColumnId="46"/>
      <queryTableField id="47" name="sources_from_women_farmers" tableColumnId="47"/>
    </queryTableFields>
    <queryTableDeletedFields count="4">
      <deletedField name="Column2"/>
      <deletedField name="gross_margin_pct"/>
      <deletedField name="outstanding_loan_amount_zar"/>
      <deletedField name="debt_to_revenue_rati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A857F-4EF3-4131-95B9-81FF26D706B2}" name="Table1_2" displayName="Table1_2" ref="A1:AS151" tableType="queryTable" totalsRowShown="0">
  <autoFilter ref="A1:AS151" xr:uid="{095C9B01-E8DA-4E91-B70A-CA38630CDC55}"/>
  <tableColumns count="45">
    <tableColumn id="1" xr3:uid="{0CF2D78B-F3DF-4E31-B374-C85E8974EB07}" uniqueName="1" name="sme_id" queryTableFieldId="1" dataDxfId="32"/>
    <tableColumn id="2" xr3:uid="{53891E6F-6DC3-4805-8A71-79F6D3EC9FD1}" uniqueName="2" name="sme_name" queryTableFieldId="2" dataDxfId="31"/>
    <tableColumn id="3" xr3:uid="{DA7F6818-0609-4864-BC65-8E520D85DAFB}" uniqueName="3" name="province" queryTableFieldId="3" dataDxfId="30"/>
    <tableColumn id="4" xr3:uid="{5CDED478-666C-497C-8EDA-19D0FD5E5662}" uniqueName="4" name="local_municipality" queryTableFieldId="4" dataDxfId="29"/>
    <tableColumn id="5" xr3:uid="{4BC598AA-0BE5-487E-A84E-A6D918217AA5}" uniqueName="5" name="setting" queryTableFieldId="5" dataDxfId="28"/>
    <tableColumn id="6" xr3:uid="{6AA06493-A2FD-47D4-8CB4-E7CC4D8605CA}" uniqueName="6" name="primary_crop" queryTableFieldId="6" dataDxfId="27"/>
    <tableColumn id="7" xr3:uid="{66F7BB0D-3127-40A4-8651-A56FA934B723}" uniqueName="7" name="years_in_operation" queryTableFieldId="7"/>
    <tableColumn id="8" xr3:uid="{91D4DEDE-D778-42BB-B83A-652E04DEE19A}" uniqueName="8" name="num_employees" queryTableFieldId="8"/>
    <tableColumn id="9" xr3:uid="{23F631D8-56CB-419B-9EF5-CD2BBF2ABF54}" uniqueName="9" name="owner_gender" queryTableFieldId="9" dataDxfId="26"/>
    <tableColumn id="10" xr3:uid="{8496C616-AB4C-4F5F-9DB8-4F06AA7971F3}" uniqueName="10" name="owner_age_range" queryTableFieldId="10" dataDxfId="25"/>
    <tableColumn id="11" xr3:uid="{1A61A263-35BF-42C0-B7FD-936F33A11B2C}" uniqueName="11" name="business_registration_status" queryTableFieldId="11" dataDxfId="24"/>
    <tableColumn id="12" xr3:uid="{7BFC5D71-7331-4695-84D6-F05FF7CBF6BD}" uniqueName="12" name="financial_statements_prepared" queryTableFieldId="12" dataDxfId="23"/>
    <tableColumn id="13" xr3:uid="{B938593F-EDC2-4611-A456-974239C571F4}" uniqueName="13" name="separate_bank_account" queryTableFieldId="13" dataDxfId="22"/>
    <tableColumn id="14" xr3:uid="{CCA9DB1E-E3CD-41CE-B673-E1DE8ABA3AC2}" uniqueName="14" name="land_ownership_type" queryTableFieldId="14" dataDxfId="21"/>
    <tableColumn id="15" xr3:uid="{3D735A8F-95CA-4F1E-A3E0-527D1FE43D30}" uniqueName="15" name="title_deed" queryTableFieldId="15" dataDxfId="20"/>
    <tableColumn id="16" xr3:uid="{CBFB7444-1FB9-4569-A7B7-713B043CADE4}" uniqueName="16" name="previous_grant_or_investment" queryTableFieldId="16" dataDxfId="19"/>
    <tableColumn id="17" xr3:uid="{9548CBC2-FFA3-4D3F-A2CF-49ADF88FD2CB}" uniqueName="17" name="annual_production_volume_kg" queryTableFieldId="17"/>
    <tableColumn id="18" xr3:uid="{13D6FA74-55A4-4CB8-8733-EC21A5DDB3AF}" uniqueName="18" name="yoy_production_change_pct" queryTableFieldId="18" dataDxfId="18"/>
    <tableColumn id="19" xr3:uid="{A711A5BA-1D71-4D3B-A257-C774ACB3F3D7}" uniqueName="19" name="production_diversity_count" queryTableFieldId="19"/>
    <tableColumn id="20" xr3:uid="{36408BFC-65D0-4012-8881-9B993C6EA303}" uniqueName="20" name="post_harvest_loss_pct" queryTableFieldId="20"/>
    <tableColumn id="21" xr3:uid="{B3D414C2-B04A-42CD-8CFD-239E99F08594}" uniqueName="21" name="storage_access" queryTableFieldId="21" dataDxfId="17"/>
    <tableColumn id="22" xr3:uid="{3117495D-53D3-4A7A-B04A-3F0D385C56FF}" uniqueName="22" name="cold_chain_capacity" queryTableFieldId="22" dataDxfId="16"/>
    <tableColumn id="23" xr3:uid="{B93E2093-3CC1-4D51-A048-F6BACF926C50}" uniqueName="23" name="distance_to_market_km" queryTableFieldId="23"/>
    <tableColumn id="24" xr3:uid="{1D0BC2EB-AA12-4AE3-A03F-392FDD5F6227}" uniqueName="24" name="num_buyers" queryTableFieldId="24"/>
    <tableColumn id="25" xr3:uid="{98C7FE1D-67C8-46B3-AC1D-EF3763141CA9}" uniqueName="25" name="formal_offtake_contracts" queryTableFieldId="25" dataDxfId="15"/>
    <tableColumn id="26" xr3:uid="{ECB97B6F-7603-4AF3-8223-5A69B34A4962}" uniqueName="26" name="avg_price_per_kg_zar" queryTableFieldId="26"/>
    <tableColumn id="27" xr3:uid="{DFF895CB-143D-425F-BD55-D41958A1E713}" uniqueName="27" name="unit_cost_per_kg_zar" queryTableFieldId="27"/>
    <tableColumn id="29" xr3:uid="{B78BA089-AF8B-4ED7-B024-F7142E6D88D8}" uniqueName="29" name="gross_margin_pct" queryTableFieldId="29" dataDxfId="14"/>
    <tableColumn id="52" xr3:uid="{C2CA7F56-96E7-42B2-B12F-7276832C84C0}" uniqueName="52" name="outstanding_loan_amount_zar" queryTableFieldId="52" dataDxfId="13"/>
    <tableColumn id="32" xr3:uid="{A767B7A4-955C-4F14-8FE6-28991EFF9EA5}" uniqueName="32" name="loan_repayment_status" queryTableFieldId="32" dataDxfId="12"/>
    <tableColumn id="54" xr3:uid="{CEF6C319-2070-43BA-B573-B646EBEBD824}" uniqueName="54" name="debt_to_revenue_ratio" queryTableFieldId="54" dataDxfId="11"/>
    <tableColumn id="34" xr3:uid="{303CA608-B377-4DA4-BBA8-559BE52DD48F}" uniqueName="34" name="certification_status" queryTableFieldId="34" dataDxfId="10"/>
    <tableColumn id="35" xr3:uid="{7FDDAEA8-CA3B-443F-BF49-3374037EA38A}" uniqueName="35" name="export_readiness" queryTableFieldId="35" dataDxfId="9"/>
    <tableColumn id="36" xr3:uid="{C45DF943-ED68-4E9F-8712-7A00C10B1985}" uniqueName="36" name="drought_events_5yr" queryTableFieldId="36"/>
    <tableColumn id="37" xr3:uid="{9998A935-B9CF-40AC-9631-3B848CE7670E}" uniqueName="37" name="environmental_shocks_12mo" queryTableFieldId="37"/>
    <tableColumn id="38" xr3:uid="{B01F44C9-FE30-428D-A8F8-8350596BF3CF}" uniqueName="38" name="irrigation_present" queryTableFieldId="38" dataDxfId="8"/>
    <tableColumn id="39" xr3:uid="{3DBC145F-42FA-455B-B26C-9C14C8E99192}" uniqueName="39" name="electricity_source" queryTableFieldId="39" dataDxfId="7"/>
    <tableColumn id="40" xr3:uid="{03833BDE-5B45-435E-B75E-3A681DB50F5A}" uniqueName="40" name="loadshedding_days_per_month" queryTableFieldId="40"/>
    <tableColumn id="41" xr3:uid="{D9A082A4-E5F7-45C6-A1A3-119EE3F81163}" uniqueName="41" name="energy_mitigation_present" queryTableFieldId="41" dataDxfId="6"/>
    <tableColumn id="42" xr3:uid="{818576CC-525B-4A26-930A-6EF31D2F4CA8}" uniqueName="42" name="income_seasonality_risk" queryTableFieldId="42" dataDxfId="5"/>
    <tableColumn id="43" xr3:uid="{561BD1EE-0794-4C74-B08D-F3C89E5A9CC2}" uniqueName="43" name="pct_women_leadership" queryTableFieldId="43" dataDxfId="4"/>
    <tableColumn id="44" xr3:uid="{D4D3D27C-683B-4FAF-A05F-95DA00749B28}" uniqueName="44" name="pct_women_workforce" queryTableFieldId="44" dataDxfId="3"/>
    <tableColumn id="45" xr3:uid="{9FA8B0C6-7F5C-4FB4-928C-A6613855F0ED}" uniqueName="45" name="pct_youth_employees" queryTableFieldId="45" dataDxfId="2"/>
    <tableColumn id="46" xr3:uid="{3E53C1BF-665B-4ED5-98DB-9E51D890A78E}" uniqueName="46" name="pct_hdi_employees" queryTableFieldId="46" dataDxfId="1"/>
    <tableColumn id="47" xr3:uid="{50BC3D5C-1681-407B-A5DA-6CA6B5A1D4C6}" uniqueName="47" name="sources_from_women_farmers" queryTableFieldId="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2CB5-1DBE-4801-95B2-732540CF3408}">
  <dimension ref="A1:AS151"/>
  <sheetViews>
    <sheetView zoomScale="80" zoomScaleNormal="80" workbookViewId="0">
      <pane ySplit="1" topLeftCell="A2" activePane="bottomLeft" state="frozen"/>
      <selection activeCell="AC1" sqref="AC1"/>
      <selection pane="bottomLeft" activeCell="K15" sqref="K15"/>
    </sheetView>
  </sheetViews>
  <sheetFormatPr defaultRowHeight="14.5" x14ac:dyDescent="0.35"/>
  <cols>
    <col min="1" max="1" width="9.36328125" bestFit="1" customWidth="1"/>
    <col min="2" max="2" width="18.81640625" bestFit="1" customWidth="1"/>
    <col min="3" max="3" width="13.6328125" bestFit="1" customWidth="1"/>
    <col min="4" max="4" width="19.90625" bestFit="1" customWidth="1"/>
    <col min="5" max="5" width="10.1796875" bestFit="1" customWidth="1"/>
    <col min="6" max="6" width="14.54296875" bestFit="1" customWidth="1"/>
    <col min="7" max="7" width="19.7265625" bestFit="1" customWidth="1"/>
    <col min="8" max="8" width="17.54296875" bestFit="1" customWidth="1"/>
    <col min="9" max="9" width="15.54296875" bestFit="1" customWidth="1"/>
    <col min="10" max="10" width="18.08984375" bestFit="1" customWidth="1"/>
    <col min="11" max="11" width="28.453125" bestFit="1" customWidth="1"/>
    <col min="12" max="12" width="30.36328125" bestFit="1" customWidth="1"/>
    <col min="13" max="13" width="23.7265625" bestFit="1" customWidth="1"/>
    <col min="14" max="14" width="21.6328125" bestFit="1" customWidth="1"/>
    <col min="15" max="15" width="12" bestFit="1" customWidth="1"/>
    <col min="16" max="17" width="29.7265625" bestFit="1" customWidth="1"/>
    <col min="18" max="18" width="27.54296875" style="1" bestFit="1" customWidth="1"/>
    <col min="19" max="19" width="27.26953125" bestFit="1" customWidth="1"/>
    <col min="20" max="20" width="22.453125" bestFit="1" customWidth="1"/>
    <col min="21" max="21" width="16.453125" bestFit="1" customWidth="1"/>
    <col min="22" max="22" width="20.54296875" bestFit="1" customWidth="1"/>
    <col min="23" max="23" width="23.81640625" bestFit="1" customWidth="1"/>
    <col min="24" max="24" width="13.7265625" bestFit="1" customWidth="1"/>
    <col min="25" max="25" width="25.08984375" bestFit="1" customWidth="1"/>
    <col min="26" max="26" width="21.26953125" bestFit="1" customWidth="1"/>
    <col min="27" max="27" width="21.08984375" bestFit="1" customWidth="1"/>
    <col min="28" max="28" width="18.54296875" customWidth="1"/>
    <col min="29" max="29" width="20.54296875" customWidth="1"/>
    <col min="30" max="30" width="23.54296875" bestFit="1" customWidth="1"/>
    <col min="31" max="31" width="23.54296875" style="1" customWidth="1"/>
    <col min="32" max="32" width="21.26953125" bestFit="1" customWidth="1"/>
    <col min="33" max="33" width="18.26953125" bestFit="1" customWidth="1"/>
    <col min="34" max="34" width="20.26953125" bestFit="1" customWidth="1"/>
    <col min="35" max="35" width="28.6328125" bestFit="1" customWidth="1"/>
    <col min="36" max="36" width="18.81640625" bestFit="1" customWidth="1"/>
    <col min="37" max="37" width="18.90625" bestFit="1" customWidth="1"/>
    <col min="38" max="38" width="30.26953125" bestFit="1" customWidth="1"/>
    <col min="39" max="39" width="26.7265625" bestFit="1" customWidth="1"/>
    <col min="40" max="40" width="24.6328125" bestFit="1" customWidth="1"/>
    <col min="41" max="41" width="23.453125" style="1" bestFit="1" customWidth="1"/>
    <col min="42" max="42" width="22.90625" style="1" bestFit="1" customWidth="1"/>
    <col min="43" max="43" width="22.36328125" bestFit="1" customWidth="1"/>
    <col min="44" max="44" width="20.1796875" bestFit="1" customWidth="1"/>
    <col min="45" max="45" width="30.08984375" bestFit="1" customWidth="1"/>
  </cols>
  <sheetData>
    <row r="1" spans="1:45" x14ac:dyDescent="0.35">
      <c r="A1" t="s">
        <v>427</v>
      </c>
      <c r="B1" t="s">
        <v>426</v>
      </c>
      <c r="C1" t="s">
        <v>425</v>
      </c>
      <c r="D1" t="s">
        <v>424</v>
      </c>
      <c r="E1" t="s">
        <v>423</v>
      </c>
      <c r="F1" t="s">
        <v>422</v>
      </c>
      <c r="G1" t="s">
        <v>421</v>
      </c>
      <c r="H1" t="s">
        <v>420</v>
      </c>
      <c r="I1" t="s">
        <v>419</v>
      </c>
      <c r="J1" t="s">
        <v>418</v>
      </c>
      <c r="K1" t="s">
        <v>417</v>
      </c>
      <c r="L1" t="s">
        <v>416</v>
      </c>
      <c r="M1" t="s">
        <v>415</v>
      </c>
      <c r="N1" t="s">
        <v>414</v>
      </c>
      <c r="O1" t="s">
        <v>413</v>
      </c>
      <c r="P1" t="s">
        <v>412</v>
      </c>
      <c r="Q1" t="s">
        <v>411</v>
      </c>
      <c r="R1" s="1" t="s">
        <v>410</v>
      </c>
      <c r="S1" t="s">
        <v>409</v>
      </c>
      <c r="T1" t="s">
        <v>408</v>
      </c>
      <c r="U1" t="s">
        <v>407</v>
      </c>
      <c r="V1" t="s">
        <v>406</v>
      </c>
      <c r="W1" t="s">
        <v>405</v>
      </c>
      <c r="X1" t="s">
        <v>404</v>
      </c>
      <c r="Y1" t="s">
        <v>403</v>
      </c>
      <c r="Z1" t="s">
        <v>402</v>
      </c>
      <c r="AA1" t="s">
        <v>401</v>
      </c>
      <c r="AB1" t="s">
        <v>400</v>
      </c>
      <c r="AC1" t="s">
        <v>399</v>
      </c>
      <c r="AD1" t="s">
        <v>398</v>
      </c>
      <c r="AE1" s="1" t="s">
        <v>397</v>
      </c>
      <c r="AF1" t="s">
        <v>396</v>
      </c>
      <c r="AG1" t="s">
        <v>395</v>
      </c>
      <c r="AH1" t="s">
        <v>394</v>
      </c>
      <c r="AI1" t="s">
        <v>393</v>
      </c>
      <c r="AJ1" t="s">
        <v>392</v>
      </c>
      <c r="AK1" t="s">
        <v>391</v>
      </c>
      <c r="AL1" t="s">
        <v>390</v>
      </c>
      <c r="AM1" t="s">
        <v>389</v>
      </c>
      <c r="AN1" t="s">
        <v>388</v>
      </c>
      <c r="AO1" s="1" t="s">
        <v>387</v>
      </c>
      <c r="AP1" s="1" t="s">
        <v>386</v>
      </c>
      <c r="AQ1" t="s">
        <v>385</v>
      </c>
      <c r="AR1" t="s">
        <v>384</v>
      </c>
      <c r="AS1" t="s">
        <v>383</v>
      </c>
    </row>
    <row r="2" spans="1:45" x14ac:dyDescent="0.35">
      <c r="A2" t="s">
        <v>382</v>
      </c>
      <c r="B2" t="s">
        <v>381</v>
      </c>
      <c r="C2" t="s">
        <v>331</v>
      </c>
      <c r="D2" t="s">
        <v>338</v>
      </c>
      <c r="E2" t="s">
        <v>24</v>
      </c>
      <c r="F2" t="s">
        <v>337</v>
      </c>
      <c r="G2">
        <v>19</v>
      </c>
      <c r="H2">
        <v>69</v>
      </c>
      <c r="I2" t="s">
        <v>11</v>
      </c>
      <c r="J2" t="s">
        <v>10</v>
      </c>
      <c r="K2" t="s">
        <v>21</v>
      </c>
      <c r="L2" t="s">
        <v>3</v>
      </c>
      <c r="M2" t="s">
        <v>3</v>
      </c>
      <c r="N2" t="s">
        <v>34</v>
      </c>
      <c r="O2" t="s">
        <v>7</v>
      </c>
      <c r="P2" t="s">
        <v>79</v>
      </c>
      <c r="Q2">
        <v>194629</v>
      </c>
      <c r="R2" s="1">
        <v>-6</v>
      </c>
      <c r="S2">
        <v>5</v>
      </c>
      <c r="T2">
        <v>5.4</v>
      </c>
      <c r="U2" t="s">
        <v>3</v>
      </c>
      <c r="V2" t="s">
        <v>3</v>
      </c>
      <c r="W2">
        <v>219</v>
      </c>
      <c r="X2">
        <v>6</v>
      </c>
      <c r="Y2" t="s">
        <v>3</v>
      </c>
      <c r="Z2">
        <v>16.850000000000001</v>
      </c>
      <c r="AA2">
        <v>11.76</v>
      </c>
      <c r="AB2" s="1">
        <v>30.207715133531167</v>
      </c>
      <c r="AC2" s="1">
        <v>0</v>
      </c>
      <c r="AD2" t="s">
        <v>28</v>
      </c>
      <c r="AE2" s="1">
        <v>0</v>
      </c>
      <c r="AF2" t="s">
        <v>138</v>
      </c>
      <c r="AG2" t="s">
        <v>3</v>
      </c>
      <c r="AH2">
        <v>2</v>
      </c>
      <c r="AI2">
        <v>1</v>
      </c>
      <c r="AJ2" t="s">
        <v>3</v>
      </c>
      <c r="AK2" t="s">
        <v>2</v>
      </c>
      <c r="AL2">
        <v>20</v>
      </c>
      <c r="AM2" t="s">
        <v>3</v>
      </c>
      <c r="AN2" t="s">
        <v>32</v>
      </c>
      <c r="AO2" s="1">
        <v>35.9</v>
      </c>
      <c r="AP2" s="1">
        <v>34.1</v>
      </c>
      <c r="AQ2">
        <v>16.899999999999999</v>
      </c>
      <c r="AR2">
        <v>42.6</v>
      </c>
      <c r="AS2" t="s">
        <v>0</v>
      </c>
    </row>
    <row r="3" spans="1:45" x14ac:dyDescent="0.35">
      <c r="A3" t="s">
        <v>380</v>
      </c>
      <c r="B3" t="s">
        <v>379</v>
      </c>
      <c r="C3" t="s">
        <v>331</v>
      </c>
      <c r="D3" t="s">
        <v>345</v>
      </c>
      <c r="E3" t="s">
        <v>38</v>
      </c>
      <c r="F3" t="s">
        <v>344</v>
      </c>
      <c r="G3">
        <v>3</v>
      </c>
      <c r="H3">
        <v>44</v>
      </c>
      <c r="I3" t="s">
        <v>11</v>
      </c>
      <c r="J3" t="s">
        <v>51</v>
      </c>
      <c r="K3" t="s">
        <v>21</v>
      </c>
      <c r="L3" t="s">
        <v>3</v>
      </c>
      <c r="M3" t="s">
        <v>3</v>
      </c>
      <c r="N3" t="s">
        <v>34</v>
      </c>
      <c r="O3" t="s">
        <v>3</v>
      </c>
      <c r="P3" t="s">
        <v>6</v>
      </c>
      <c r="Q3">
        <v>317717</v>
      </c>
      <c r="R3" s="1">
        <v>18.100000000000001</v>
      </c>
      <c r="S3">
        <v>3</v>
      </c>
      <c r="T3">
        <v>7.4</v>
      </c>
      <c r="U3" t="s">
        <v>3</v>
      </c>
      <c r="V3" t="s">
        <v>3</v>
      </c>
      <c r="W3">
        <v>41</v>
      </c>
      <c r="X3">
        <v>12</v>
      </c>
      <c r="Y3" t="s">
        <v>3</v>
      </c>
      <c r="Z3">
        <v>26.83</v>
      </c>
      <c r="AA3">
        <v>12.02</v>
      </c>
      <c r="AB3" s="1">
        <v>55.199403652627652</v>
      </c>
      <c r="AC3" s="1">
        <v>215958</v>
      </c>
      <c r="AD3" t="s">
        <v>65</v>
      </c>
      <c r="AE3" s="1">
        <v>2.533425694815471E-2</v>
      </c>
      <c r="AF3" t="s">
        <v>7</v>
      </c>
      <c r="AG3" t="s">
        <v>0</v>
      </c>
      <c r="AH3">
        <v>0</v>
      </c>
      <c r="AI3">
        <v>1</v>
      </c>
      <c r="AJ3" t="s">
        <v>3</v>
      </c>
      <c r="AK3" t="s">
        <v>2</v>
      </c>
      <c r="AL3">
        <v>20</v>
      </c>
      <c r="AM3" t="s">
        <v>3</v>
      </c>
      <c r="AN3" t="s">
        <v>48</v>
      </c>
      <c r="AO3" s="1">
        <v>91.3</v>
      </c>
      <c r="AP3" s="1">
        <v>49.7</v>
      </c>
      <c r="AQ3">
        <v>37.299999999999997</v>
      </c>
      <c r="AR3">
        <v>52.8</v>
      </c>
      <c r="AS3" t="s">
        <v>0</v>
      </c>
    </row>
    <row r="4" spans="1:45" x14ac:dyDescent="0.35">
      <c r="A4" t="s">
        <v>378</v>
      </c>
      <c r="B4" t="s">
        <v>377</v>
      </c>
      <c r="C4" t="s">
        <v>331</v>
      </c>
      <c r="D4" t="s">
        <v>330</v>
      </c>
      <c r="E4" t="s">
        <v>24</v>
      </c>
      <c r="F4" t="s">
        <v>375</v>
      </c>
      <c r="G4">
        <v>12</v>
      </c>
      <c r="H4">
        <v>43</v>
      </c>
      <c r="I4" t="s">
        <v>22</v>
      </c>
      <c r="J4" t="s">
        <v>61</v>
      </c>
      <c r="K4" t="s">
        <v>21</v>
      </c>
      <c r="L4" t="s">
        <v>3</v>
      </c>
      <c r="M4" t="s">
        <v>3</v>
      </c>
      <c r="N4" t="s">
        <v>20</v>
      </c>
      <c r="O4" t="s">
        <v>0</v>
      </c>
      <c r="P4" t="s">
        <v>42</v>
      </c>
      <c r="Q4">
        <v>127662</v>
      </c>
      <c r="R4" s="1">
        <v>25.3</v>
      </c>
      <c r="S4">
        <v>1</v>
      </c>
      <c r="T4">
        <v>7.3</v>
      </c>
      <c r="U4" t="s">
        <v>3</v>
      </c>
      <c r="V4" t="s">
        <v>3</v>
      </c>
      <c r="W4">
        <v>37</v>
      </c>
      <c r="X4">
        <v>9</v>
      </c>
      <c r="Y4" t="s">
        <v>3</v>
      </c>
      <c r="Z4">
        <v>44.85</v>
      </c>
      <c r="AA4">
        <v>25.19</v>
      </c>
      <c r="AB4" s="1">
        <v>43.835005574136012</v>
      </c>
      <c r="AC4" s="1">
        <v>0</v>
      </c>
      <c r="AD4" t="s">
        <v>28</v>
      </c>
      <c r="AE4" s="1">
        <v>0</v>
      </c>
      <c r="AF4" t="s">
        <v>33</v>
      </c>
      <c r="AG4" t="s">
        <v>3</v>
      </c>
      <c r="AH4">
        <v>0</v>
      </c>
      <c r="AI4">
        <v>2</v>
      </c>
      <c r="AJ4" t="s">
        <v>3</v>
      </c>
      <c r="AK4" t="s">
        <v>18</v>
      </c>
      <c r="AL4">
        <v>0</v>
      </c>
      <c r="AM4" t="s">
        <v>3</v>
      </c>
      <c r="AN4" t="s">
        <v>1</v>
      </c>
      <c r="AO4" s="1">
        <v>0.3</v>
      </c>
      <c r="AP4" s="1">
        <v>60.5</v>
      </c>
      <c r="AQ4">
        <v>37.4</v>
      </c>
      <c r="AR4">
        <v>98.3</v>
      </c>
      <c r="AS4" t="s">
        <v>0</v>
      </c>
    </row>
    <row r="5" spans="1:45" x14ac:dyDescent="0.35">
      <c r="A5" t="s">
        <v>376</v>
      </c>
      <c r="B5" t="s">
        <v>127</v>
      </c>
      <c r="C5" t="s">
        <v>331</v>
      </c>
      <c r="D5" t="s">
        <v>330</v>
      </c>
      <c r="E5" t="s">
        <v>38</v>
      </c>
      <c r="F5" t="s">
        <v>375</v>
      </c>
      <c r="G5">
        <v>20</v>
      </c>
      <c r="H5">
        <v>56</v>
      </c>
      <c r="I5" t="s">
        <v>22</v>
      </c>
      <c r="J5" t="s">
        <v>10</v>
      </c>
      <c r="K5" t="s">
        <v>21</v>
      </c>
      <c r="L5" t="s">
        <v>3</v>
      </c>
      <c r="M5" t="s">
        <v>3</v>
      </c>
      <c r="N5" t="s">
        <v>34</v>
      </c>
      <c r="O5" t="s">
        <v>3</v>
      </c>
      <c r="P5" t="s">
        <v>79</v>
      </c>
      <c r="Q5">
        <v>270306</v>
      </c>
      <c r="R5" s="1">
        <v>32.700000000000003</v>
      </c>
      <c r="S5">
        <v>3</v>
      </c>
      <c r="T5">
        <v>8.6</v>
      </c>
      <c r="U5" t="s">
        <v>3</v>
      </c>
      <c r="V5" t="s">
        <v>7</v>
      </c>
      <c r="W5">
        <v>45</v>
      </c>
      <c r="X5">
        <v>4</v>
      </c>
      <c r="Y5" t="s">
        <v>3</v>
      </c>
      <c r="Z5">
        <v>37.82</v>
      </c>
      <c r="AA5">
        <v>28.03</v>
      </c>
      <c r="AB5" s="1">
        <v>25.885774722369113</v>
      </c>
      <c r="AC5" s="1">
        <v>100608</v>
      </c>
      <c r="AD5" t="s">
        <v>65</v>
      </c>
      <c r="AE5" s="1">
        <v>9.8413642281270954E-3</v>
      </c>
      <c r="AF5" t="s">
        <v>138</v>
      </c>
      <c r="AG5" t="s">
        <v>3</v>
      </c>
      <c r="AH5">
        <v>4</v>
      </c>
      <c r="AI5">
        <v>3</v>
      </c>
      <c r="AJ5" t="s">
        <v>3</v>
      </c>
      <c r="AK5" t="s">
        <v>2</v>
      </c>
      <c r="AL5">
        <v>22</v>
      </c>
      <c r="AM5" t="s">
        <v>0</v>
      </c>
      <c r="AN5" t="s">
        <v>48</v>
      </c>
      <c r="AO5" s="1">
        <v>71.3</v>
      </c>
      <c r="AP5" s="1">
        <v>37.9</v>
      </c>
      <c r="AQ5">
        <v>35.200000000000003</v>
      </c>
      <c r="AR5">
        <v>62.4</v>
      </c>
      <c r="AS5" t="s">
        <v>0</v>
      </c>
    </row>
    <row r="6" spans="1:45" x14ac:dyDescent="0.35">
      <c r="A6" t="s">
        <v>374</v>
      </c>
      <c r="B6" t="s">
        <v>342</v>
      </c>
      <c r="C6" t="s">
        <v>331</v>
      </c>
      <c r="D6" t="s">
        <v>330</v>
      </c>
      <c r="E6" t="s">
        <v>38</v>
      </c>
      <c r="F6" t="s">
        <v>337</v>
      </c>
      <c r="G6">
        <v>8</v>
      </c>
      <c r="H6">
        <v>23</v>
      </c>
      <c r="I6" t="s">
        <v>11</v>
      </c>
      <c r="J6" t="s">
        <v>29</v>
      </c>
      <c r="K6" t="s">
        <v>21</v>
      </c>
      <c r="L6" t="s">
        <v>3</v>
      </c>
      <c r="M6" t="s">
        <v>3</v>
      </c>
      <c r="N6" t="s">
        <v>34</v>
      </c>
      <c r="O6" t="s">
        <v>3</v>
      </c>
      <c r="P6" t="s">
        <v>79</v>
      </c>
      <c r="Q6">
        <v>349565</v>
      </c>
      <c r="R6" s="1">
        <v>-5.7</v>
      </c>
      <c r="S6">
        <v>4</v>
      </c>
      <c r="T6">
        <v>8.1999999999999993</v>
      </c>
      <c r="U6" t="s">
        <v>3</v>
      </c>
      <c r="V6" t="s">
        <v>0</v>
      </c>
      <c r="W6">
        <v>247</v>
      </c>
      <c r="X6">
        <v>6</v>
      </c>
      <c r="Y6" t="s">
        <v>0</v>
      </c>
      <c r="Z6">
        <v>37.49</v>
      </c>
      <c r="AA6">
        <v>15.98</v>
      </c>
      <c r="AB6" s="1">
        <v>57.37530008002134</v>
      </c>
      <c r="AC6" s="1">
        <v>344841</v>
      </c>
      <c r="AD6" t="s">
        <v>49</v>
      </c>
      <c r="AE6" s="1">
        <v>2.6313311849761281E-2</v>
      </c>
      <c r="AF6" t="s">
        <v>33</v>
      </c>
      <c r="AG6" t="s">
        <v>3</v>
      </c>
      <c r="AH6">
        <v>0</v>
      </c>
      <c r="AI6">
        <v>0</v>
      </c>
      <c r="AJ6" t="s">
        <v>3</v>
      </c>
      <c r="AK6" t="s">
        <v>18</v>
      </c>
      <c r="AM6" t="s">
        <v>0</v>
      </c>
      <c r="AN6" t="s">
        <v>32</v>
      </c>
      <c r="AO6" s="1">
        <v>24.9</v>
      </c>
      <c r="AP6" s="1">
        <v>23.3</v>
      </c>
      <c r="AQ6">
        <v>25.2</v>
      </c>
      <c r="AR6">
        <v>65.3</v>
      </c>
      <c r="AS6" t="s">
        <v>3</v>
      </c>
    </row>
    <row r="7" spans="1:45" x14ac:dyDescent="0.35">
      <c r="A7" t="s">
        <v>373</v>
      </c>
      <c r="B7" t="s">
        <v>36</v>
      </c>
      <c r="C7" t="s">
        <v>331</v>
      </c>
      <c r="D7" t="s">
        <v>338</v>
      </c>
      <c r="E7" t="s">
        <v>24</v>
      </c>
      <c r="F7" t="s">
        <v>337</v>
      </c>
      <c r="G7">
        <v>6</v>
      </c>
      <c r="H7">
        <v>67</v>
      </c>
      <c r="I7" t="s">
        <v>22</v>
      </c>
      <c r="J7" t="s">
        <v>51</v>
      </c>
      <c r="K7" t="s">
        <v>9</v>
      </c>
      <c r="L7" t="s">
        <v>3</v>
      </c>
      <c r="M7" t="s">
        <v>0</v>
      </c>
      <c r="N7" t="s">
        <v>8</v>
      </c>
      <c r="O7" t="s">
        <v>0</v>
      </c>
      <c r="P7" t="s">
        <v>60</v>
      </c>
      <c r="Q7">
        <v>290260</v>
      </c>
      <c r="S7">
        <v>2</v>
      </c>
      <c r="T7">
        <v>10.7</v>
      </c>
      <c r="U7" t="s">
        <v>0</v>
      </c>
      <c r="V7" t="s">
        <v>0</v>
      </c>
      <c r="W7">
        <v>140</v>
      </c>
      <c r="X7">
        <v>10</v>
      </c>
      <c r="Y7" t="s">
        <v>3</v>
      </c>
      <c r="Z7">
        <v>33.17</v>
      </c>
      <c r="AA7">
        <v>21.3</v>
      </c>
      <c r="AB7" s="1">
        <v>35.785348206210429</v>
      </c>
      <c r="AC7" s="1">
        <v>0</v>
      </c>
      <c r="AD7" t="s">
        <v>28</v>
      </c>
      <c r="AE7" s="1">
        <v>0</v>
      </c>
      <c r="AF7" t="s">
        <v>129</v>
      </c>
      <c r="AG7" t="s">
        <v>3</v>
      </c>
      <c r="AH7">
        <v>1</v>
      </c>
      <c r="AI7">
        <v>2</v>
      </c>
      <c r="AJ7" t="s">
        <v>3</v>
      </c>
      <c r="AK7" t="s">
        <v>2</v>
      </c>
      <c r="AL7">
        <v>8</v>
      </c>
      <c r="AM7" t="s">
        <v>3</v>
      </c>
      <c r="AN7" t="s">
        <v>1</v>
      </c>
      <c r="AO7" s="1">
        <v>5.7</v>
      </c>
      <c r="AP7" s="1">
        <v>50.9</v>
      </c>
      <c r="AQ7">
        <v>27.6</v>
      </c>
      <c r="AR7">
        <v>91.2</v>
      </c>
      <c r="AS7" t="s">
        <v>3</v>
      </c>
    </row>
    <row r="8" spans="1:45" x14ac:dyDescent="0.35">
      <c r="A8" t="s">
        <v>372</v>
      </c>
      <c r="B8" t="s">
        <v>371</v>
      </c>
      <c r="C8" t="s">
        <v>331</v>
      </c>
      <c r="D8" t="s">
        <v>338</v>
      </c>
      <c r="E8" t="s">
        <v>13</v>
      </c>
      <c r="F8" t="s">
        <v>344</v>
      </c>
      <c r="G8">
        <v>19</v>
      </c>
      <c r="H8">
        <v>91</v>
      </c>
      <c r="I8" t="s">
        <v>11</v>
      </c>
      <c r="J8" t="s">
        <v>61</v>
      </c>
      <c r="K8" t="s">
        <v>21</v>
      </c>
      <c r="L8" t="s">
        <v>3</v>
      </c>
      <c r="M8" t="s">
        <v>3</v>
      </c>
      <c r="N8" t="s">
        <v>8</v>
      </c>
      <c r="O8" t="s">
        <v>7</v>
      </c>
      <c r="P8" t="s">
        <v>79</v>
      </c>
      <c r="Q8">
        <v>299794</v>
      </c>
      <c r="R8" s="1">
        <v>19.399999999999999</v>
      </c>
      <c r="S8">
        <v>5</v>
      </c>
      <c r="T8">
        <v>12.8</v>
      </c>
      <c r="U8" t="s">
        <v>0</v>
      </c>
      <c r="V8" t="s">
        <v>0</v>
      </c>
      <c r="W8">
        <v>109</v>
      </c>
      <c r="X8">
        <v>8</v>
      </c>
      <c r="Y8" t="s">
        <v>3</v>
      </c>
      <c r="Z8">
        <v>21.44</v>
      </c>
      <c r="AA8">
        <v>13.26</v>
      </c>
      <c r="AB8" s="1">
        <v>38.152985074626869</v>
      </c>
      <c r="AC8" s="1">
        <v>252942</v>
      </c>
      <c r="AD8" t="s">
        <v>49</v>
      </c>
      <c r="AE8" s="1">
        <v>3.9352581807667132E-2</v>
      </c>
      <c r="AF8" t="s">
        <v>138</v>
      </c>
      <c r="AG8" t="s">
        <v>0</v>
      </c>
      <c r="AH8">
        <v>4</v>
      </c>
      <c r="AI8">
        <v>0</v>
      </c>
      <c r="AJ8" t="s">
        <v>3</v>
      </c>
      <c r="AK8" t="s">
        <v>2</v>
      </c>
      <c r="AL8">
        <v>16</v>
      </c>
      <c r="AM8" t="s">
        <v>3</v>
      </c>
      <c r="AN8" t="s">
        <v>1</v>
      </c>
      <c r="AO8" s="1">
        <v>88.1</v>
      </c>
      <c r="AP8" s="1">
        <v>71.5</v>
      </c>
      <c r="AQ8">
        <v>21.6</v>
      </c>
      <c r="AR8">
        <v>49.5</v>
      </c>
      <c r="AS8" t="s">
        <v>0</v>
      </c>
    </row>
    <row r="9" spans="1:45" x14ac:dyDescent="0.35">
      <c r="A9" t="s">
        <v>370</v>
      </c>
      <c r="B9" t="s">
        <v>369</v>
      </c>
      <c r="C9" t="s">
        <v>331</v>
      </c>
      <c r="D9" t="s">
        <v>338</v>
      </c>
      <c r="E9" t="s">
        <v>38</v>
      </c>
      <c r="F9" t="s">
        <v>123</v>
      </c>
      <c r="G9">
        <v>23</v>
      </c>
      <c r="H9">
        <v>58</v>
      </c>
      <c r="I9" t="s">
        <v>22</v>
      </c>
      <c r="J9" t="s">
        <v>29</v>
      </c>
      <c r="K9" t="s">
        <v>21</v>
      </c>
      <c r="L9" t="s">
        <v>3</v>
      </c>
      <c r="M9" t="s">
        <v>3</v>
      </c>
      <c r="N9" t="s">
        <v>8</v>
      </c>
      <c r="O9" t="s">
        <v>3</v>
      </c>
      <c r="P9" t="s">
        <v>72</v>
      </c>
      <c r="Q9">
        <v>336131</v>
      </c>
      <c r="R9" s="1">
        <v>-4.9000000000000004</v>
      </c>
      <c r="S9">
        <v>1</v>
      </c>
      <c r="T9">
        <v>6.4</v>
      </c>
      <c r="U9" t="s">
        <v>3</v>
      </c>
      <c r="V9" t="s">
        <v>3</v>
      </c>
      <c r="W9">
        <v>6</v>
      </c>
      <c r="X9">
        <v>8</v>
      </c>
      <c r="Y9" t="s">
        <v>0</v>
      </c>
      <c r="Z9">
        <v>30.85</v>
      </c>
      <c r="AA9">
        <v>14.03</v>
      </c>
      <c r="AB9" s="1">
        <v>54.521880064829823</v>
      </c>
      <c r="AC9" s="1">
        <v>0</v>
      </c>
      <c r="AD9" t="s">
        <v>28</v>
      </c>
      <c r="AE9" s="1">
        <v>0</v>
      </c>
      <c r="AF9" t="s">
        <v>134</v>
      </c>
      <c r="AG9" t="s">
        <v>3</v>
      </c>
      <c r="AH9">
        <v>0</v>
      </c>
      <c r="AI9">
        <v>0</v>
      </c>
      <c r="AJ9" t="s">
        <v>3</v>
      </c>
      <c r="AK9" t="s">
        <v>2</v>
      </c>
      <c r="AL9">
        <v>22</v>
      </c>
      <c r="AM9" t="s">
        <v>3</v>
      </c>
      <c r="AN9" t="s">
        <v>32</v>
      </c>
      <c r="AO9" s="1">
        <v>83.5</v>
      </c>
      <c r="AP9" s="1">
        <v>50.8</v>
      </c>
      <c r="AQ9">
        <v>11.7</v>
      </c>
      <c r="AR9">
        <v>47.6</v>
      </c>
      <c r="AS9" t="s">
        <v>3</v>
      </c>
    </row>
    <row r="10" spans="1:45" x14ac:dyDescent="0.35">
      <c r="A10" t="s">
        <v>368</v>
      </c>
      <c r="B10" t="s">
        <v>323</v>
      </c>
      <c r="C10" t="s">
        <v>331</v>
      </c>
      <c r="D10" t="s">
        <v>330</v>
      </c>
      <c r="E10" t="s">
        <v>38</v>
      </c>
      <c r="F10" t="s">
        <v>337</v>
      </c>
      <c r="G10">
        <v>8</v>
      </c>
      <c r="H10">
        <v>10</v>
      </c>
      <c r="I10" t="s">
        <v>22</v>
      </c>
      <c r="J10" t="s">
        <v>51</v>
      </c>
      <c r="K10" t="s">
        <v>21</v>
      </c>
      <c r="L10" t="s">
        <v>0</v>
      </c>
      <c r="M10" t="s">
        <v>3</v>
      </c>
      <c r="N10" t="s">
        <v>8</v>
      </c>
      <c r="O10" t="s">
        <v>3</v>
      </c>
      <c r="P10" t="s">
        <v>79</v>
      </c>
      <c r="Q10">
        <v>174036</v>
      </c>
      <c r="R10" s="1">
        <v>24.2</v>
      </c>
      <c r="S10">
        <v>3</v>
      </c>
      <c r="T10">
        <v>16.7</v>
      </c>
      <c r="U10" t="s">
        <v>3</v>
      </c>
      <c r="V10" t="s">
        <v>3</v>
      </c>
      <c r="W10">
        <v>132</v>
      </c>
      <c r="X10">
        <v>7</v>
      </c>
      <c r="Y10" t="s">
        <v>3</v>
      </c>
      <c r="Z10">
        <v>33.35</v>
      </c>
      <c r="AA10">
        <v>16.78</v>
      </c>
      <c r="AB10" s="1">
        <v>49.685157421289354</v>
      </c>
      <c r="AC10" s="1">
        <v>376552</v>
      </c>
      <c r="AD10" t="s">
        <v>49</v>
      </c>
      <c r="AE10" s="1">
        <v>6.4876890658993741E-2</v>
      </c>
      <c r="AF10" t="s">
        <v>118</v>
      </c>
      <c r="AG10" t="s">
        <v>0</v>
      </c>
      <c r="AH10">
        <v>1</v>
      </c>
      <c r="AI10">
        <v>1</v>
      </c>
      <c r="AJ10" t="s">
        <v>3</v>
      </c>
      <c r="AK10" t="s">
        <v>2</v>
      </c>
      <c r="AL10">
        <v>18</v>
      </c>
      <c r="AM10" t="s">
        <v>3</v>
      </c>
      <c r="AN10" t="s">
        <v>32</v>
      </c>
      <c r="AO10" s="1">
        <v>96.7</v>
      </c>
      <c r="AP10" s="1">
        <v>29.5</v>
      </c>
      <c r="AQ10">
        <v>33.9</v>
      </c>
      <c r="AR10">
        <v>64</v>
      </c>
      <c r="AS10" t="s">
        <v>0</v>
      </c>
    </row>
    <row r="11" spans="1:45" x14ac:dyDescent="0.35">
      <c r="A11" t="s">
        <v>367</v>
      </c>
      <c r="B11" t="s">
        <v>366</v>
      </c>
      <c r="C11" t="s">
        <v>331</v>
      </c>
      <c r="D11" t="s">
        <v>338</v>
      </c>
      <c r="E11" t="s">
        <v>13</v>
      </c>
      <c r="F11" t="s">
        <v>329</v>
      </c>
      <c r="G11">
        <v>24</v>
      </c>
      <c r="H11">
        <v>115</v>
      </c>
      <c r="I11" t="s">
        <v>22</v>
      </c>
      <c r="J11" t="s">
        <v>51</v>
      </c>
      <c r="K11" t="s">
        <v>21</v>
      </c>
      <c r="L11" t="s">
        <v>0</v>
      </c>
      <c r="M11" t="s">
        <v>3</v>
      </c>
      <c r="N11" t="s">
        <v>34</v>
      </c>
      <c r="O11" t="s">
        <v>3</v>
      </c>
      <c r="P11" t="s">
        <v>72</v>
      </c>
      <c r="Q11">
        <v>5000</v>
      </c>
      <c r="R11" s="1">
        <v>-13.1</v>
      </c>
      <c r="S11">
        <v>5</v>
      </c>
      <c r="T11">
        <v>7.9</v>
      </c>
      <c r="U11" t="s">
        <v>3</v>
      </c>
      <c r="V11" t="s">
        <v>3</v>
      </c>
      <c r="W11">
        <v>271</v>
      </c>
      <c r="X11">
        <v>11</v>
      </c>
      <c r="Y11" t="s">
        <v>3</v>
      </c>
      <c r="Z11">
        <v>42.67</v>
      </c>
      <c r="AA11">
        <v>27.51</v>
      </c>
      <c r="AB11" s="1">
        <v>35.528474337942342</v>
      </c>
      <c r="AC11" s="1">
        <v>345038</v>
      </c>
      <c r="AD11" t="s">
        <v>49</v>
      </c>
      <c r="AE11" s="1">
        <v>1.617239278181392</v>
      </c>
      <c r="AF11" t="s">
        <v>129</v>
      </c>
      <c r="AG11" t="s">
        <v>0</v>
      </c>
      <c r="AH11">
        <v>0</v>
      </c>
      <c r="AI11">
        <v>2</v>
      </c>
      <c r="AJ11" t="s">
        <v>3</v>
      </c>
      <c r="AK11" t="s">
        <v>54</v>
      </c>
      <c r="AL11">
        <v>6</v>
      </c>
      <c r="AM11" t="s">
        <v>3</v>
      </c>
      <c r="AN11" t="s">
        <v>1</v>
      </c>
      <c r="AO11" s="1">
        <v>55.4</v>
      </c>
      <c r="AP11" s="1">
        <v>23.4</v>
      </c>
      <c r="AQ11">
        <v>34.9</v>
      </c>
      <c r="AR11">
        <v>62.7</v>
      </c>
      <c r="AS11" t="s">
        <v>0</v>
      </c>
    </row>
    <row r="12" spans="1:45" x14ac:dyDescent="0.35">
      <c r="A12" t="s">
        <v>365</v>
      </c>
      <c r="B12" t="s">
        <v>364</v>
      </c>
      <c r="C12" t="s">
        <v>331</v>
      </c>
      <c r="D12" t="s">
        <v>338</v>
      </c>
      <c r="E12" t="s">
        <v>38</v>
      </c>
      <c r="F12" t="s">
        <v>329</v>
      </c>
      <c r="G12">
        <v>15</v>
      </c>
      <c r="H12">
        <v>101</v>
      </c>
      <c r="I12" t="s">
        <v>22</v>
      </c>
      <c r="J12" t="s">
        <v>61</v>
      </c>
      <c r="K12" t="s">
        <v>21</v>
      </c>
      <c r="L12" t="s">
        <v>3</v>
      </c>
      <c r="M12" t="s">
        <v>3</v>
      </c>
      <c r="N12" t="s">
        <v>34</v>
      </c>
      <c r="O12" t="s">
        <v>7</v>
      </c>
      <c r="P12" t="s">
        <v>42</v>
      </c>
      <c r="Q12">
        <v>496145</v>
      </c>
      <c r="R12" s="1">
        <v>34.1</v>
      </c>
      <c r="S12">
        <v>2</v>
      </c>
      <c r="T12">
        <v>14.9</v>
      </c>
      <c r="U12" t="s">
        <v>3</v>
      </c>
      <c r="V12" t="s">
        <v>3</v>
      </c>
      <c r="W12">
        <v>176</v>
      </c>
      <c r="X12">
        <v>4</v>
      </c>
      <c r="Y12" t="s">
        <v>0</v>
      </c>
      <c r="Z12">
        <v>35.29</v>
      </c>
      <c r="AA12">
        <v>21.85</v>
      </c>
      <c r="AB12" s="1">
        <v>38.084443185038246</v>
      </c>
      <c r="AC12" s="1">
        <v>159304</v>
      </c>
      <c r="AD12" t="s">
        <v>19</v>
      </c>
      <c r="AE12" s="1">
        <v>9.0984288524484092E-3</v>
      </c>
      <c r="AF12" t="s">
        <v>143</v>
      </c>
      <c r="AG12" t="s">
        <v>0</v>
      </c>
      <c r="AH12">
        <v>0</v>
      </c>
      <c r="AI12">
        <v>3</v>
      </c>
      <c r="AJ12" t="s">
        <v>3</v>
      </c>
      <c r="AK12" t="s">
        <v>18</v>
      </c>
      <c r="AL12">
        <v>0</v>
      </c>
      <c r="AM12" t="s">
        <v>3</v>
      </c>
      <c r="AN12" t="s">
        <v>1</v>
      </c>
      <c r="AO12" s="1">
        <v>49.4</v>
      </c>
      <c r="AP12" s="1">
        <v>27.1</v>
      </c>
      <c r="AQ12">
        <v>34.5</v>
      </c>
      <c r="AR12">
        <v>40.299999999999997</v>
      </c>
      <c r="AS12" t="s">
        <v>0</v>
      </c>
    </row>
    <row r="13" spans="1:45" x14ac:dyDescent="0.35">
      <c r="A13" t="s">
        <v>363</v>
      </c>
      <c r="B13" t="s">
        <v>342</v>
      </c>
      <c r="C13" t="s">
        <v>331</v>
      </c>
      <c r="D13" t="s">
        <v>330</v>
      </c>
      <c r="E13" t="s">
        <v>38</v>
      </c>
      <c r="F13" t="s">
        <v>220</v>
      </c>
      <c r="G13">
        <v>22</v>
      </c>
      <c r="H13">
        <v>82</v>
      </c>
      <c r="I13" t="s">
        <v>22</v>
      </c>
      <c r="J13" t="s">
        <v>51</v>
      </c>
      <c r="K13" t="s">
        <v>21</v>
      </c>
      <c r="L13" t="s">
        <v>3</v>
      </c>
      <c r="M13" t="s">
        <v>3</v>
      </c>
      <c r="N13" t="s">
        <v>34</v>
      </c>
      <c r="O13" t="s">
        <v>3</v>
      </c>
      <c r="P13" t="s">
        <v>72</v>
      </c>
      <c r="Q13">
        <v>457106</v>
      </c>
      <c r="R13" s="1">
        <v>33.5</v>
      </c>
      <c r="S13">
        <v>4</v>
      </c>
      <c r="T13">
        <v>17.5</v>
      </c>
      <c r="U13" t="s">
        <v>3</v>
      </c>
      <c r="V13" t="s">
        <v>0</v>
      </c>
      <c r="W13">
        <v>248</v>
      </c>
      <c r="X13">
        <v>10</v>
      </c>
      <c r="Y13" t="s">
        <v>3</v>
      </c>
      <c r="Z13">
        <v>15.64</v>
      </c>
      <c r="AA13">
        <v>9.4600000000000009</v>
      </c>
      <c r="AB13" s="1">
        <v>39.514066496163679</v>
      </c>
      <c r="AC13" s="1">
        <v>0</v>
      </c>
      <c r="AD13" t="s">
        <v>28</v>
      </c>
      <c r="AE13" s="1">
        <v>0</v>
      </c>
      <c r="AF13" t="s">
        <v>134</v>
      </c>
      <c r="AG13" t="s">
        <v>0</v>
      </c>
      <c r="AH13">
        <v>2</v>
      </c>
      <c r="AI13">
        <v>3</v>
      </c>
      <c r="AJ13" t="s">
        <v>3</v>
      </c>
      <c r="AK13" t="s">
        <v>2</v>
      </c>
      <c r="AL13">
        <v>19</v>
      </c>
      <c r="AM13" t="s">
        <v>3</v>
      </c>
      <c r="AN13" t="s">
        <v>1</v>
      </c>
      <c r="AO13" s="1">
        <v>89.3</v>
      </c>
      <c r="AP13" s="1">
        <v>15.6</v>
      </c>
      <c r="AQ13">
        <v>11.8</v>
      </c>
      <c r="AR13">
        <v>63</v>
      </c>
      <c r="AS13" t="s">
        <v>3</v>
      </c>
    </row>
    <row r="14" spans="1:45" x14ac:dyDescent="0.35">
      <c r="A14" t="s">
        <v>362</v>
      </c>
      <c r="B14" t="s">
        <v>361</v>
      </c>
      <c r="C14" t="s">
        <v>331</v>
      </c>
      <c r="D14" t="s">
        <v>341</v>
      </c>
      <c r="E14" t="s">
        <v>24</v>
      </c>
      <c r="F14" t="s">
        <v>329</v>
      </c>
      <c r="G14">
        <v>28</v>
      </c>
      <c r="H14">
        <v>112</v>
      </c>
      <c r="I14" t="s">
        <v>22</v>
      </c>
      <c r="J14" t="s">
        <v>51</v>
      </c>
      <c r="K14" t="s">
        <v>21</v>
      </c>
      <c r="L14" t="s">
        <v>0</v>
      </c>
      <c r="M14" t="s">
        <v>3</v>
      </c>
      <c r="N14" t="s">
        <v>34</v>
      </c>
      <c r="O14" t="s">
        <v>3</v>
      </c>
      <c r="P14" t="s">
        <v>79</v>
      </c>
      <c r="Q14">
        <v>264422</v>
      </c>
      <c r="R14" s="1">
        <v>-2.1</v>
      </c>
      <c r="S14">
        <v>4</v>
      </c>
      <c r="T14">
        <v>17.8</v>
      </c>
      <c r="U14" t="s">
        <v>0</v>
      </c>
      <c r="V14" t="s">
        <v>0</v>
      </c>
      <c r="W14">
        <v>219</v>
      </c>
      <c r="X14">
        <v>11</v>
      </c>
      <c r="Y14" t="s">
        <v>3</v>
      </c>
      <c r="Z14">
        <v>27.3</v>
      </c>
      <c r="AA14">
        <v>16.14</v>
      </c>
      <c r="AB14" s="1">
        <v>40.879120879120876</v>
      </c>
      <c r="AC14" s="1">
        <v>175537</v>
      </c>
      <c r="AD14" t="s">
        <v>49</v>
      </c>
      <c r="AE14" s="1">
        <v>2.4316912888968163E-2</v>
      </c>
      <c r="AF14" t="s">
        <v>138</v>
      </c>
      <c r="AG14" t="s">
        <v>0</v>
      </c>
      <c r="AH14">
        <v>3</v>
      </c>
      <c r="AI14">
        <v>1</v>
      </c>
      <c r="AJ14" t="s">
        <v>3</v>
      </c>
      <c r="AK14" t="s">
        <v>18</v>
      </c>
      <c r="AL14">
        <v>0</v>
      </c>
      <c r="AM14" t="s">
        <v>0</v>
      </c>
      <c r="AN14" t="s">
        <v>32</v>
      </c>
      <c r="AO14" s="1">
        <v>90.7</v>
      </c>
      <c r="AP14" s="1">
        <v>51.4</v>
      </c>
      <c r="AQ14">
        <v>34.799999999999997</v>
      </c>
      <c r="AR14">
        <v>45</v>
      </c>
      <c r="AS14" t="s">
        <v>0</v>
      </c>
    </row>
    <row r="15" spans="1:45" x14ac:dyDescent="0.35">
      <c r="A15" t="s">
        <v>360</v>
      </c>
      <c r="B15" t="s">
        <v>359</v>
      </c>
      <c r="C15" t="s">
        <v>331</v>
      </c>
      <c r="D15" t="s">
        <v>345</v>
      </c>
      <c r="E15" t="s">
        <v>38</v>
      </c>
      <c r="F15" t="s">
        <v>334</v>
      </c>
      <c r="G15">
        <v>9</v>
      </c>
      <c r="H15">
        <v>25</v>
      </c>
      <c r="I15" t="s">
        <v>22</v>
      </c>
      <c r="J15" t="s">
        <v>10</v>
      </c>
      <c r="K15" t="s">
        <v>21</v>
      </c>
      <c r="L15" t="s">
        <v>3</v>
      </c>
      <c r="M15" t="s">
        <v>3</v>
      </c>
      <c r="N15" t="s">
        <v>34</v>
      </c>
      <c r="O15" t="s">
        <v>3</v>
      </c>
      <c r="P15" t="s">
        <v>50</v>
      </c>
      <c r="Q15">
        <v>362810</v>
      </c>
      <c r="R15" s="1">
        <v>-16.899999999999999</v>
      </c>
      <c r="S15">
        <v>3</v>
      </c>
      <c r="T15">
        <v>8.4</v>
      </c>
      <c r="U15" t="s">
        <v>3</v>
      </c>
      <c r="V15" t="s">
        <v>0</v>
      </c>
      <c r="W15">
        <v>25</v>
      </c>
      <c r="X15">
        <v>3</v>
      </c>
      <c r="Y15" t="s">
        <v>0</v>
      </c>
      <c r="Z15">
        <v>13.78</v>
      </c>
      <c r="AA15">
        <v>4.9400000000000004</v>
      </c>
      <c r="AB15" s="1">
        <v>64.15094339622641</v>
      </c>
      <c r="AC15" s="1">
        <v>100977</v>
      </c>
      <c r="AD15" t="s">
        <v>65</v>
      </c>
      <c r="AE15" s="1">
        <v>2.0197331672801189E-2</v>
      </c>
      <c r="AF15" t="s">
        <v>143</v>
      </c>
      <c r="AG15" t="s">
        <v>3</v>
      </c>
      <c r="AH15">
        <v>2</v>
      </c>
      <c r="AI15">
        <v>2</v>
      </c>
      <c r="AJ15" t="s">
        <v>3</v>
      </c>
      <c r="AK15" t="s">
        <v>2</v>
      </c>
      <c r="AL15">
        <v>17</v>
      </c>
      <c r="AM15" t="s">
        <v>0</v>
      </c>
      <c r="AN15" t="s">
        <v>32</v>
      </c>
      <c r="AO15" s="1">
        <v>77.8</v>
      </c>
      <c r="AP15" s="1">
        <v>21.5</v>
      </c>
      <c r="AQ15">
        <v>19</v>
      </c>
      <c r="AR15">
        <v>74.7</v>
      </c>
      <c r="AS15" t="s">
        <v>0</v>
      </c>
    </row>
    <row r="16" spans="1:45" x14ac:dyDescent="0.35">
      <c r="A16" t="s">
        <v>358</v>
      </c>
      <c r="B16" t="s">
        <v>357</v>
      </c>
      <c r="C16" t="s">
        <v>331</v>
      </c>
      <c r="D16" t="s">
        <v>330</v>
      </c>
      <c r="E16" t="s">
        <v>24</v>
      </c>
      <c r="F16" t="s">
        <v>337</v>
      </c>
      <c r="G16">
        <v>26</v>
      </c>
      <c r="H16">
        <v>87</v>
      </c>
      <c r="I16" t="s">
        <v>11</v>
      </c>
      <c r="J16" t="s">
        <v>190</v>
      </c>
      <c r="K16" t="s">
        <v>21</v>
      </c>
      <c r="L16" t="s">
        <v>3</v>
      </c>
      <c r="M16" t="s">
        <v>3</v>
      </c>
      <c r="N16" t="s">
        <v>34</v>
      </c>
      <c r="O16" t="s">
        <v>0</v>
      </c>
      <c r="P16" t="s">
        <v>72</v>
      </c>
      <c r="Q16">
        <v>304593</v>
      </c>
      <c r="R16" s="1">
        <v>19.7</v>
      </c>
      <c r="S16">
        <v>1</v>
      </c>
      <c r="T16">
        <v>12.6</v>
      </c>
      <c r="U16" t="s">
        <v>3</v>
      </c>
      <c r="V16" t="s">
        <v>7</v>
      </c>
      <c r="W16">
        <v>255</v>
      </c>
      <c r="X16">
        <v>4</v>
      </c>
      <c r="Y16" t="s">
        <v>3</v>
      </c>
      <c r="Z16">
        <v>20.13</v>
      </c>
      <c r="AA16">
        <v>14.22</v>
      </c>
      <c r="AB16" s="1">
        <v>29.359165424739185</v>
      </c>
      <c r="AC16" s="1">
        <v>122393</v>
      </c>
      <c r="AD16" t="s">
        <v>65</v>
      </c>
      <c r="AE16" s="1">
        <v>1.9961486838033143E-2</v>
      </c>
      <c r="AF16" t="s">
        <v>143</v>
      </c>
      <c r="AG16" t="s">
        <v>3</v>
      </c>
      <c r="AH16">
        <v>4</v>
      </c>
      <c r="AI16">
        <v>3</v>
      </c>
      <c r="AJ16" t="s">
        <v>3</v>
      </c>
      <c r="AK16" t="s">
        <v>18</v>
      </c>
      <c r="AL16">
        <v>0</v>
      </c>
      <c r="AM16" t="s">
        <v>0</v>
      </c>
      <c r="AN16" t="s">
        <v>1</v>
      </c>
      <c r="AO16" s="1">
        <v>32.200000000000003</v>
      </c>
      <c r="AP16" s="1">
        <v>27.2</v>
      </c>
      <c r="AQ16">
        <v>47.1</v>
      </c>
      <c r="AR16">
        <v>56.7</v>
      </c>
      <c r="AS16" t="s">
        <v>0</v>
      </c>
    </row>
    <row r="17" spans="1:45" x14ac:dyDescent="0.35">
      <c r="A17" t="s">
        <v>356</v>
      </c>
      <c r="B17" t="s">
        <v>355</v>
      </c>
      <c r="C17" t="s">
        <v>331</v>
      </c>
      <c r="D17" t="s">
        <v>338</v>
      </c>
      <c r="E17" t="s">
        <v>38</v>
      </c>
      <c r="F17" t="s">
        <v>334</v>
      </c>
      <c r="G17">
        <v>18</v>
      </c>
      <c r="H17">
        <v>16</v>
      </c>
      <c r="I17" t="s">
        <v>22</v>
      </c>
      <c r="J17" t="s">
        <v>10</v>
      </c>
      <c r="K17" t="s">
        <v>21</v>
      </c>
      <c r="L17" t="s">
        <v>3</v>
      </c>
      <c r="M17" t="s">
        <v>3</v>
      </c>
      <c r="N17" t="s">
        <v>34</v>
      </c>
      <c r="O17" t="s">
        <v>3</v>
      </c>
      <c r="P17" t="s">
        <v>60</v>
      </c>
      <c r="Q17">
        <v>457526</v>
      </c>
      <c r="R17" s="1">
        <v>4.4000000000000004</v>
      </c>
      <c r="S17">
        <v>5</v>
      </c>
      <c r="T17">
        <v>16.399999999999999</v>
      </c>
      <c r="U17" t="s">
        <v>3</v>
      </c>
      <c r="V17" t="s">
        <v>3</v>
      </c>
      <c r="W17">
        <v>256</v>
      </c>
      <c r="X17">
        <v>10</v>
      </c>
      <c r="Y17" t="s">
        <v>0</v>
      </c>
      <c r="Z17">
        <v>9.6300000000000008</v>
      </c>
      <c r="AA17">
        <v>4.22</v>
      </c>
      <c r="AB17" s="1">
        <v>56.178608515057114</v>
      </c>
      <c r="AC17" s="1">
        <v>0</v>
      </c>
      <c r="AD17" t="s">
        <v>28</v>
      </c>
      <c r="AE17" s="1">
        <v>0</v>
      </c>
      <c r="AF17" t="s">
        <v>118</v>
      </c>
      <c r="AG17" t="s">
        <v>0</v>
      </c>
      <c r="AH17">
        <v>3</v>
      </c>
      <c r="AI17">
        <v>2</v>
      </c>
      <c r="AJ17" t="s">
        <v>0</v>
      </c>
      <c r="AK17" t="s">
        <v>18</v>
      </c>
      <c r="AL17">
        <v>0</v>
      </c>
      <c r="AM17" t="s">
        <v>3</v>
      </c>
      <c r="AN17" t="s">
        <v>1</v>
      </c>
      <c r="AO17" s="1">
        <v>70.3</v>
      </c>
      <c r="AP17" s="1">
        <v>29</v>
      </c>
      <c r="AQ17">
        <v>16.3</v>
      </c>
      <c r="AR17">
        <v>47.2</v>
      </c>
      <c r="AS17" t="s">
        <v>3</v>
      </c>
    </row>
    <row r="18" spans="1:45" x14ac:dyDescent="0.35">
      <c r="A18" t="s">
        <v>354</v>
      </c>
      <c r="B18" t="s">
        <v>353</v>
      </c>
      <c r="C18" t="s">
        <v>331</v>
      </c>
      <c r="D18" t="s">
        <v>330</v>
      </c>
      <c r="E18" t="s">
        <v>38</v>
      </c>
      <c r="F18" t="s">
        <v>334</v>
      </c>
      <c r="G18">
        <v>27</v>
      </c>
      <c r="H18">
        <v>39</v>
      </c>
      <c r="I18" t="s">
        <v>22</v>
      </c>
      <c r="J18" t="s">
        <v>35</v>
      </c>
      <c r="K18" t="s">
        <v>21</v>
      </c>
      <c r="L18" t="s">
        <v>0</v>
      </c>
      <c r="M18" t="s">
        <v>3</v>
      </c>
      <c r="N18" t="s">
        <v>34</v>
      </c>
      <c r="O18" t="s">
        <v>3</v>
      </c>
      <c r="P18" t="s">
        <v>6</v>
      </c>
      <c r="Q18">
        <v>174079</v>
      </c>
      <c r="R18" s="1">
        <v>-1.9</v>
      </c>
      <c r="S18">
        <v>5</v>
      </c>
      <c r="T18">
        <v>6.9</v>
      </c>
      <c r="U18" t="s">
        <v>3</v>
      </c>
      <c r="V18" t="s">
        <v>3</v>
      </c>
      <c r="W18">
        <v>154</v>
      </c>
      <c r="X18">
        <v>5</v>
      </c>
      <c r="Y18" t="s">
        <v>3</v>
      </c>
      <c r="Z18">
        <v>35.36</v>
      </c>
      <c r="AA18">
        <v>13.83</v>
      </c>
      <c r="AB18" s="1">
        <v>60.888009049773764</v>
      </c>
      <c r="AC18" s="1">
        <v>227471</v>
      </c>
      <c r="AD18" t="s">
        <v>49</v>
      </c>
      <c r="AE18" s="1">
        <v>3.6954505676532835E-2</v>
      </c>
      <c r="AF18" t="s">
        <v>7</v>
      </c>
      <c r="AG18" t="s">
        <v>3</v>
      </c>
      <c r="AH18">
        <v>3</v>
      </c>
      <c r="AI18">
        <v>0</v>
      </c>
      <c r="AJ18" t="s">
        <v>3</v>
      </c>
      <c r="AK18" t="s">
        <v>2</v>
      </c>
      <c r="AL18">
        <v>14</v>
      </c>
      <c r="AM18" t="s">
        <v>3</v>
      </c>
      <c r="AN18" t="s">
        <v>32</v>
      </c>
      <c r="AO18" s="1">
        <v>15.2</v>
      </c>
      <c r="AP18" s="1">
        <v>66.8</v>
      </c>
      <c r="AQ18">
        <v>47.7</v>
      </c>
      <c r="AR18">
        <v>45.1</v>
      </c>
      <c r="AS18" t="s">
        <v>3</v>
      </c>
    </row>
    <row r="19" spans="1:45" x14ac:dyDescent="0.35">
      <c r="A19" t="s">
        <v>352</v>
      </c>
      <c r="B19" t="s">
        <v>351</v>
      </c>
      <c r="C19" t="s">
        <v>331</v>
      </c>
      <c r="D19" t="s">
        <v>341</v>
      </c>
      <c r="E19" t="s">
        <v>38</v>
      </c>
      <c r="F19" t="s">
        <v>334</v>
      </c>
      <c r="G19">
        <v>20</v>
      </c>
      <c r="H19">
        <v>109</v>
      </c>
      <c r="I19" t="s">
        <v>11</v>
      </c>
      <c r="J19" t="s">
        <v>35</v>
      </c>
      <c r="K19" t="s">
        <v>21</v>
      </c>
      <c r="L19" t="s">
        <v>0</v>
      </c>
      <c r="M19" t="s">
        <v>3</v>
      </c>
      <c r="N19" t="s">
        <v>34</v>
      </c>
      <c r="O19" t="s">
        <v>3</v>
      </c>
      <c r="P19" t="s">
        <v>50</v>
      </c>
      <c r="Q19">
        <v>190637</v>
      </c>
      <c r="R19" s="1">
        <v>-4.0999999999999996</v>
      </c>
      <c r="S19">
        <v>1</v>
      </c>
      <c r="T19">
        <v>7.4</v>
      </c>
      <c r="U19" t="s">
        <v>3</v>
      </c>
      <c r="V19" t="s">
        <v>3</v>
      </c>
      <c r="W19">
        <v>6</v>
      </c>
      <c r="X19">
        <v>9</v>
      </c>
      <c r="Y19" t="s">
        <v>3</v>
      </c>
      <c r="Z19">
        <v>29.16</v>
      </c>
      <c r="AA19">
        <v>13.6</v>
      </c>
      <c r="AB19" s="1">
        <v>53.360768175582997</v>
      </c>
      <c r="AC19" s="1">
        <v>565565</v>
      </c>
      <c r="AD19" t="s">
        <v>49</v>
      </c>
      <c r="AE19" s="1">
        <v>0.10173908106064994</v>
      </c>
      <c r="AF19" t="s">
        <v>138</v>
      </c>
      <c r="AG19" t="s">
        <v>3</v>
      </c>
      <c r="AH19">
        <v>2</v>
      </c>
      <c r="AI19">
        <v>1</v>
      </c>
      <c r="AJ19" t="s">
        <v>3</v>
      </c>
      <c r="AK19" t="s">
        <v>18</v>
      </c>
      <c r="AL19">
        <v>0</v>
      </c>
      <c r="AM19" t="s">
        <v>3</v>
      </c>
      <c r="AN19" t="s">
        <v>48</v>
      </c>
      <c r="AO19" s="1">
        <v>90.8</v>
      </c>
      <c r="AP19" s="1">
        <v>67.900000000000006</v>
      </c>
      <c r="AQ19">
        <v>8.1999999999999993</v>
      </c>
      <c r="AR19">
        <v>50</v>
      </c>
      <c r="AS19" t="s">
        <v>3</v>
      </c>
    </row>
    <row r="20" spans="1:45" x14ac:dyDescent="0.35">
      <c r="A20" t="s">
        <v>350</v>
      </c>
      <c r="B20" t="s">
        <v>349</v>
      </c>
      <c r="C20" t="s">
        <v>331</v>
      </c>
      <c r="D20" t="s">
        <v>338</v>
      </c>
      <c r="E20" t="s">
        <v>24</v>
      </c>
      <c r="F20" t="s">
        <v>334</v>
      </c>
      <c r="G20">
        <v>3</v>
      </c>
      <c r="H20">
        <v>91</v>
      </c>
      <c r="I20" t="s">
        <v>11</v>
      </c>
      <c r="J20" t="s">
        <v>51</v>
      </c>
      <c r="K20" t="s">
        <v>21</v>
      </c>
      <c r="L20" t="s">
        <v>3</v>
      </c>
      <c r="M20" t="s">
        <v>3</v>
      </c>
      <c r="N20" t="s">
        <v>34</v>
      </c>
      <c r="O20" t="s">
        <v>3</v>
      </c>
      <c r="P20" t="s">
        <v>50</v>
      </c>
      <c r="Q20">
        <v>248989</v>
      </c>
      <c r="R20" s="1">
        <v>16.2</v>
      </c>
      <c r="S20">
        <v>1</v>
      </c>
      <c r="T20">
        <v>6.4</v>
      </c>
      <c r="U20" t="s">
        <v>0</v>
      </c>
      <c r="V20" t="s">
        <v>0</v>
      </c>
      <c r="W20">
        <v>15</v>
      </c>
      <c r="X20">
        <v>7</v>
      </c>
      <c r="Y20" t="s">
        <v>3</v>
      </c>
      <c r="Z20">
        <v>35.76</v>
      </c>
      <c r="AA20">
        <v>15.02</v>
      </c>
      <c r="AB20" s="1">
        <v>57.997762863534675</v>
      </c>
      <c r="AC20" s="1">
        <v>353784</v>
      </c>
      <c r="AD20" t="s">
        <v>65</v>
      </c>
      <c r="AE20" s="1">
        <v>3.9733838003301464E-2</v>
      </c>
      <c r="AF20" t="s">
        <v>118</v>
      </c>
      <c r="AG20" t="s">
        <v>0</v>
      </c>
      <c r="AH20">
        <v>0</v>
      </c>
      <c r="AI20">
        <v>3</v>
      </c>
      <c r="AJ20" t="s">
        <v>3</v>
      </c>
      <c r="AK20" t="s">
        <v>18</v>
      </c>
      <c r="AL20">
        <v>0</v>
      </c>
      <c r="AM20" t="s">
        <v>3</v>
      </c>
      <c r="AN20" t="s">
        <v>32</v>
      </c>
      <c r="AO20" s="1">
        <v>85.8</v>
      </c>
      <c r="AP20" s="1">
        <v>33.1</v>
      </c>
      <c r="AQ20">
        <v>36.200000000000003</v>
      </c>
      <c r="AR20">
        <v>57.3</v>
      </c>
      <c r="AS20" t="s">
        <v>0</v>
      </c>
    </row>
    <row r="21" spans="1:45" x14ac:dyDescent="0.35">
      <c r="A21" t="s">
        <v>348</v>
      </c>
      <c r="B21" t="s">
        <v>347</v>
      </c>
      <c r="C21" t="s">
        <v>331</v>
      </c>
      <c r="D21" t="s">
        <v>338</v>
      </c>
      <c r="E21" t="s">
        <v>38</v>
      </c>
      <c r="F21" t="s">
        <v>329</v>
      </c>
      <c r="G21">
        <v>22</v>
      </c>
      <c r="H21">
        <v>84</v>
      </c>
      <c r="I21" t="s">
        <v>22</v>
      </c>
      <c r="J21" t="s">
        <v>51</v>
      </c>
      <c r="K21" t="s">
        <v>21</v>
      </c>
      <c r="L21" t="s">
        <v>0</v>
      </c>
      <c r="M21" t="s">
        <v>3</v>
      </c>
      <c r="N21" t="s">
        <v>34</v>
      </c>
      <c r="O21" t="s">
        <v>3</v>
      </c>
      <c r="P21" t="s">
        <v>79</v>
      </c>
      <c r="Q21">
        <v>178347</v>
      </c>
      <c r="R21" s="1">
        <v>11.1</v>
      </c>
      <c r="S21">
        <v>5</v>
      </c>
      <c r="T21">
        <v>16.3</v>
      </c>
      <c r="U21" t="s">
        <v>3</v>
      </c>
      <c r="V21" t="s">
        <v>3</v>
      </c>
      <c r="W21">
        <v>109</v>
      </c>
      <c r="X21">
        <v>7</v>
      </c>
      <c r="Y21" t="s">
        <v>3</v>
      </c>
      <c r="Z21">
        <v>42.18</v>
      </c>
      <c r="AA21">
        <v>22.15</v>
      </c>
      <c r="AB21" s="1">
        <v>47.486960644855387</v>
      </c>
      <c r="AC21" s="1">
        <v>0</v>
      </c>
      <c r="AD21" t="s">
        <v>28</v>
      </c>
      <c r="AE21" s="1">
        <v>0</v>
      </c>
      <c r="AF21" t="s">
        <v>138</v>
      </c>
      <c r="AG21" t="s">
        <v>0</v>
      </c>
      <c r="AH21">
        <v>4</v>
      </c>
      <c r="AI21">
        <v>1</v>
      </c>
      <c r="AJ21" t="s">
        <v>3</v>
      </c>
      <c r="AK21" t="s">
        <v>2</v>
      </c>
      <c r="AL21">
        <v>12</v>
      </c>
      <c r="AM21" t="s">
        <v>3</v>
      </c>
      <c r="AN21" t="s">
        <v>32</v>
      </c>
      <c r="AO21" s="1">
        <v>22.5</v>
      </c>
      <c r="AP21" s="1">
        <v>68.900000000000006</v>
      </c>
      <c r="AQ21">
        <v>10.1</v>
      </c>
      <c r="AR21">
        <v>96.8</v>
      </c>
      <c r="AS21" t="s">
        <v>0</v>
      </c>
    </row>
    <row r="22" spans="1:45" x14ac:dyDescent="0.35">
      <c r="A22" t="s">
        <v>346</v>
      </c>
      <c r="B22" t="s">
        <v>307</v>
      </c>
      <c r="C22" t="s">
        <v>331</v>
      </c>
      <c r="D22" t="s">
        <v>345</v>
      </c>
      <c r="E22" t="s">
        <v>24</v>
      </c>
      <c r="F22" t="s">
        <v>344</v>
      </c>
      <c r="G22">
        <v>13</v>
      </c>
      <c r="H22">
        <v>39</v>
      </c>
      <c r="I22" t="s">
        <v>22</v>
      </c>
      <c r="J22" t="s">
        <v>10</v>
      </c>
      <c r="K22" t="s">
        <v>21</v>
      </c>
      <c r="L22" t="s">
        <v>3</v>
      </c>
      <c r="M22" t="s">
        <v>0</v>
      </c>
      <c r="N22" t="s">
        <v>8</v>
      </c>
      <c r="O22" t="s">
        <v>3</v>
      </c>
      <c r="P22" t="s">
        <v>6</v>
      </c>
      <c r="Q22">
        <v>485104</v>
      </c>
      <c r="R22" s="1">
        <v>27.4</v>
      </c>
      <c r="S22">
        <v>4</v>
      </c>
      <c r="T22">
        <v>10.1</v>
      </c>
      <c r="U22" t="s">
        <v>3</v>
      </c>
      <c r="V22" t="s">
        <v>3</v>
      </c>
      <c r="W22">
        <v>6</v>
      </c>
      <c r="X22">
        <v>7</v>
      </c>
      <c r="Y22" t="s">
        <v>3</v>
      </c>
      <c r="Z22">
        <v>38.659999999999997</v>
      </c>
      <c r="AA22">
        <v>22.5</v>
      </c>
      <c r="AB22" s="1">
        <v>41.800310398344536</v>
      </c>
      <c r="AC22" s="1">
        <v>0</v>
      </c>
      <c r="AD22" t="s">
        <v>28</v>
      </c>
      <c r="AE22" s="1">
        <v>0</v>
      </c>
      <c r="AF22" t="s">
        <v>33</v>
      </c>
      <c r="AG22" t="s">
        <v>3</v>
      </c>
      <c r="AH22">
        <v>3</v>
      </c>
      <c r="AI22">
        <v>2</v>
      </c>
      <c r="AJ22" t="s">
        <v>3</v>
      </c>
      <c r="AK22" t="s">
        <v>18</v>
      </c>
      <c r="AL22">
        <v>0</v>
      </c>
      <c r="AM22" t="s">
        <v>3</v>
      </c>
      <c r="AN22" t="s">
        <v>1</v>
      </c>
      <c r="AO22" s="1">
        <v>93.3</v>
      </c>
      <c r="AP22" s="1">
        <v>70.900000000000006</v>
      </c>
      <c r="AQ22">
        <v>49.1</v>
      </c>
      <c r="AR22">
        <v>54.3</v>
      </c>
      <c r="AS22" t="s">
        <v>0</v>
      </c>
    </row>
    <row r="23" spans="1:45" x14ac:dyDescent="0.35">
      <c r="A23" t="s">
        <v>343</v>
      </c>
      <c r="B23" t="s">
        <v>342</v>
      </c>
      <c r="C23" t="s">
        <v>331</v>
      </c>
      <c r="D23" t="s">
        <v>341</v>
      </c>
      <c r="E23" t="s">
        <v>38</v>
      </c>
      <c r="F23" t="s">
        <v>334</v>
      </c>
      <c r="G23">
        <v>5</v>
      </c>
      <c r="H23">
        <v>79</v>
      </c>
      <c r="I23" t="s">
        <v>22</v>
      </c>
      <c r="J23" t="s">
        <v>10</v>
      </c>
      <c r="K23" t="s">
        <v>9</v>
      </c>
      <c r="L23" t="s">
        <v>3</v>
      </c>
      <c r="M23" t="s">
        <v>3</v>
      </c>
      <c r="N23" t="s">
        <v>34</v>
      </c>
      <c r="O23" t="s">
        <v>3</v>
      </c>
      <c r="P23" t="s">
        <v>42</v>
      </c>
      <c r="Q23">
        <v>132277</v>
      </c>
      <c r="S23">
        <v>4</v>
      </c>
      <c r="T23">
        <v>5.2</v>
      </c>
      <c r="U23" t="s">
        <v>3</v>
      </c>
      <c r="V23" t="s">
        <v>0</v>
      </c>
      <c r="W23">
        <v>84</v>
      </c>
      <c r="X23">
        <v>4</v>
      </c>
      <c r="Y23" t="s">
        <v>3</v>
      </c>
      <c r="Z23">
        <v>43.8</v>
      </c>
      <c r="AA23">
        <v>21.26</v>
      </c>
      <c r="AB23" s="1">
        <v>51.461187214611869</v>
      </c>
      <c r="AC23" s="1">
        <v>0</v>
      </c>
      <c r="AD23" t="s">
        <v>28</v>
      </c>
      <c r="AE23" s="1">
        <v>0</v>
      </c>
      <c r="AF23" t="s">
        <v>129</v>
      </c>
      <c r="AG23" t="s">
        <v>0</v>
      </c>
      <c r="AH23">
        <v>4</v>
      </c>
      <c r="AI23">
        <v>3</v>
      </c>
      <c r="AJ23" t="s">
        <v>3</v>
      </c>
      <c r="AK23" t="s">
        <v>18</v>
      </c>
      <c r="AL23">
        <v>0</v>
      </c>
      <c r="AM23" t="s">
        <v>0</v>
      </c>
      <c r="AN23" t="s">
        <v>1</v>
      </c>
      <c r="AO23" s="1">
        <v>87.2</v>
      </c>
      <c r="AP23" s="1">
        <v>12.5</v>
      </c>
      <c r="AQ23">
        <v>8.1</v>
      </c>
      <c r="AR23">
        <v>77.900000000000006</v>
      </c>
      <c r="AS23" t="s">
        <v>0</v>
      </c>
    </row>
    <row r="24" spans="1:45" x14ac:dyDescent="0.35">
      <c r="A24" t="s">
        <v>340</v>
      </c>
      <c r="B24" t="s">
        <v>339</v>
      </c>
      <c r="C24" t="s">
        <v>331</v>
      </c>
      <c r="D24" t="s">
        <v>338</v>
      </c>
      <c r="E24" t="s">
        <v>38</v>
      </c>
      <c r="F24" t="s">
        <v>337</v>
      </c>
      <c r="G24">
        <v>10</v>
      </c>
      <c r="H24">
        <v>60</v>
      </c>
      <c r="I24" t="s">
        <v>22</v>
      </c>
      <c r="J24" t="s">
        <v>51</v>
      </c>
      <c r="K24" t="s">
        <v>21</v>
      </c>
      <c r="L24" t="s">
        <v>3</v>
      </c>
      <c r="M24" t="s">
        <v>3</v>
      </c>
      <c r="N24" t="s">
        <v>34</v>
      </c>
      <c r="O24" t="s">
        <v>3</v>
      </c>
      <c r="P24" t="s">
        <v>60</v>
      </c>
      <c r="Q24">
        <v>208029</v>
      </c>
      <c r="S24">
        <v>5</v>
      </c>
      <c r="T24">
        <v>15.2</v>
      </c>
      <c r="U24" t="s">
        <v>3</v>
      </c>
      <c r="V24" t="s">
        <v>3</v>
      </c>
      <c r="W24">
        <v>200</v>
      </c>
      <c r="X24">
        <v>12</v>
      </c>
      <c r="Y24" t="s">
        <v>3</v>
      </c>
      <c r="Z24">
        <v>25.41</v>
      </c>
      <c r="AA24">
        <v>14.82</v>
      </c>
      <c r="AB24" s="1">
        <v>41.676505312868947</v>
      </c>
      <c r="AC24" s="1">
        <v>510324</v>
      </c>
      <c r="AD24" t="s">
        <v>65</v>
      </c>
      <c r="AE24" s="1">
        <v>9.6542256791767464E-2</v>
      </c>
      <c r="AF24" t="s">
        <v>7</v>
      </c>
      <c r="AG24" t="s">
        <v>0</v>
      </c>
      <c r="AH24">
        <v>2</v>
      </c>
      <c r="AI24">
        <v>1</v>
      </c>
      <c r="AJ24" t="s">
        <v>0</v>
      </c>
      <c r="AK24" t="s">
        <v>2</v>
      </c>
      <c r="AL24">
        <v>15</v>
      </c>
      <c r="AM24" t="s">
        <v>7</v>
      </c>
      <c r="AN24" t="s">
        <v>1</v>
      </c>
      <c r="AO24" s="1">
        <v>63.9</v>
      </c>
      <c r="AP24" s="1">
        <v>39.700000000000003</v>
      </c>
      <c r="AQ24">
        <v>16.3</v>
      </c>
      <c r="AR24">
        <v>90.7</v>
      </c>
      <c r="AS24" t="s">
        <v>3</v>
      </c>
    </row>
    <row r="25" spans="1:45" x14ac:dyDescent="0.35">
      <c r="A25" t="s">
        <v>336</v>
      </c>
      <c r="B25" t="s">
        <v>335</v>
      </c>
      <c r="C25" t="s">
        <v>331</v>
      </c>
      <c r="D25" t="s">
        <v>330</v>
      </c>
      <c r="E25" t="s">
        <v>24</v>
      </c>
      <c r="F25" t="s">
        <v>334</v>
      </c>
      <c r="G25">
        <v>9</v>
      </c>
      <c r="H25">
        <v>16</v>
      </c>
      <c r="I25" t="s">
        <v>11</v>
      </c>
      <c r="J25" t="s">
        <v>61</v>
      </c>
      <c r="K25" t="s">
        <v>21</v>
      </c>
      <c r="L25" t="s">
        <v>0</v>
      </c>
      <c r="M25" t="s">
        <v>3</v>
      </c>
      <c r="N25" t="s">
        <v>34</v>
      </c>
      <c r="O25" t="s">
        <v>3</v>
      </c>
      <c r="P25" t="s">
        <v>50</v>
      </c>
      <c r="Q25">
        <v>340428</v>
      </c>
      <c r="R25" s="1">
        <v>30</v>
      </c>
      <c r="S25">
        <v>3</v>
      </c>
      <c r="T25">
        <v>16.600000000000001</v>
      </c>
      <c r="U25" t="s">
        <v>3</v>
      </c>
      <c r="V25" t="s">
        <v>0</v>
      </c>
      <c r="W25">
        <v>117</v>
      </c>
      <c r="X25">
        <v>6</v>
      </c>
      <c r="Y25" t="s">
        <v>3</v>
      </c>
      <c r="Z25">
        <v>32.43</v>
      </c>
      <c r="AA25">
        <v>20.7</v>
      </c>
      <c r="AB25" s="1">
        <v>36.170212765957451</v>
      </c>
      <c r="AC25" s="1">
        <v>0</v>
      </c>
      <c r="AD25" t="s">
        <v>28</v>
      </c>
      <c r="AE25" s="1">
        <v>0</v>
      </c>
      <c r="AF25" t="s">
        <v>138</v>
      </c>
      <c r="AG25" t="s">
        <v>0</v>
      </c>
      <c r="AH25">
        <v>0</v>
      </c>
      <c r="AI25">
        <v>2</v>
      </c>
      <c r="AJ25" t="s">
        <v>3</v>
      </c>
      <c r="AK25" t="s">
        <v>18</v>
      </c>
      <c r="AL25">
        <v>0</v>
      </c>
      <c r="AM25" t="s">
        <v>3</v>
      </c>
      <c r="AN25" t="s">
        <v>48</v>
      </c>
      <c r="AO25" s="1">
        <v>9</v>
      </c>
      <c r="AP25" s="1">
        <v>30.7</v>
      </c>
      <c r="AQ25">
        <v>38.6</v>
      </c>
      <c r="AR25">
        <v>50.5</v>
      </c>
      <c r="AS25" t="s">
        <v>3</v>
      </c>
    </row>
    <row r="26" spans="1:45" x14ac:dyDescent="0.35">
      <c r="A26" t="s">
        <v>333</v>
      </c>
      <c r="B26" t="s">
        <v>332</v>
      </c>
      <c r="C26" t="s">
        <v>331</v>
      </c>
      <c r="D26" t="s">
        <v>330</v>
      </c>
      <c r="E26" t="s">
        <v>38</v>
      </c>
      <c r="F26" t="s">
        <v>329</v>
      </c>
      <c r="G26">
        <v>3</v>
      </c>
      <c r="H26">
        <v>33</v>
      </c>
      <c r="I26" t="s">
        <v>22</v>
      </c>
      <c r="J26" t="s">
        <v>51</v>
      </c>
      <c r="K26" t="s">
        <v>21</v>
      </c>
      <c r="L26" t="s">
        <v>3</v>
      </c>
      <c r="M26" t="s">
        <v>0</v>
      </c>
      <c r="N26" t="s">
        <v>20</v>
      </c>
      <c r="O26" t="s">
        <v>0</v>
      </c>
      <c r="P26" t="s">
        <v>72</v>
      </c>
      <c r="Q26">
        <v>271771</v>
      </c>
      <c r="R26" s="1">
        <v>-14.6</v>
      </c>
      <c r="S26">
        <v>4</v>
      </c>
      <c r="T26">
        <v>5.2</v>
      </c>
      <c r="U26" t="s">
        <v>3</v>
      </c>
      <c r="V26" t="s">
        <v>3</v>
      </c>
      <c r="W26">
        <v>139</v>
      </c>
      <c r="X26">
        <v>12</v>
      </c>
      <c r="Y26" t="s">
        <v>3</v>
      </c>
      <c r="Z26">
        <v>30.9</v>
      </c>
      <c r="AA26">
        <v>15.41</v>
      </c>
      <c r="AB26" s="1">
        <v>50.129449838187703</v>
      </c>
      <c r="AC26" s="1">
        <v>0</v>
      </c>
      <c r="AD26" t="s">
        <v>28</v>
      </c>
      <c r="AE26" s="1">
        <v>0</v>
      </c>
      <c r="AF26" t="s">
        <v>134</v>
      </c>
      <c r="AG26" t="s">
        <v>0</v>
      </c>
      <c r="AH26">
        <v>4</v>
      </c>
      <c r="AI26">
        <v>2</v>
      </c>
      <c r="AJ26" t="s">
        <v>3</v>
      </c>
      <c r="AK26" t="s">
        <v>54</v>
      </c>
      <c r="AL26">
        <v>5</v>
      </c>
      <c r="AM26" t="s">
        <v>3</v>
      </c>
      <c r="AN26" t="s">
        <v>1</v>
      </c>
      <c r="AP26" s="1">
        <v>31.2</v>
      </c>
      <c r="AQ26">
        <v>23.4</v>
      </c>
      <c r="AR26">
        <v>48.4</v>
      </c>
      <c r="AS26" t="s">
        <v>0</v>
      </c>
    </row>
    <row r="27" spans="1:45" x14ac:dyDescent="0.35">
      <c r="A27" t="s">
        <v>328</v>
      </c>
      <c r="B27" t="s">
        <v>327</v>
      </c>
      <c r="C27" t="s">
        <v>279</v>
      </c>
      <c r="D27" t="s">
        <v>288</v>
      </c>
      <c r="E27" t="s">
        <v>24</v>
      </c>
      <c r="F27" t="s">
        <v>282</v>
      </c>
      <c r="G27">
        <v>19</v>
      </c>
      <c r="H27">
        <v>110</v>
      </c>
      <c r="I27" t="s">
        <v>22</v>
      </c>
      <c r="J27" t="s">
        <v>51</v>
      </c>
      <c r="K27" t="s">
        <v>21</v>
      </c>
      <c r="L27" t="s">
        <v>3</v>
      </c>
      <c r="M27" t="s">
        <v>3</v>
      </c>
      <c r="N27" t="s">
        <v>34</v>
      </c>
      <c r="O27" t="s">
        <v>3</v>
      </c>
      <c r="P27" t="s">
        <v>50</v>
      </c>
      <c r="Q27">
        <v>131915</v>
      </c>
      <c r="R27" s="1">
        <v>30</v>
      </c>
      <c r="S27">
        <v>5</v>
      </c>
      <c r="T27">
        <v>11.1</v>
      </c>
      <c r="U27" t="s">
        <v>0</v>
      </c>
      <c r="V27" t="s">
        <v>0</v>
      </c>
      <c r="W27">
        <v>21</v>
      </c>
      <c r="X27">
        <v>8</v>
      </c>
      <c r="Y27" t="s">
        <v>3</v>
      </c>
      <c r="Z27">
        <v>23.34</v>
      </c>
      <c r="AA27">
        <v>10.37</v>
      </c>
      <c r="AB27" s="1">
        <v>55.569837189374468</v>
      </c>
      <c r="AC27" s="1">
        <v>784742</v>
      </c>
      <c r="AD27" t="s">
        <v>65</v>
      </c>
      <c r="AE27" s="1">
        <v>0.2548777141261766</v>
      </c>
      <c r="AF27" t="s">
        <v>118</v>
      </c>
      <c r="AG27" t="s">
        <v>3</v>
      </c>
      <c r="AH27">
        <v>1</v>
      </c>
      <c r="AI27">
        <v>0</v>
      </c>
      <c r="AJ27" t="s">
        <v>3</v>
      </c>
      <c r="AK27" t="s">
        <v>54</v>
      </c>
      <c r="AL27">
        <v>3</v>
      </c>
      <c r="AM27" t="s">
        <v>3</v>
      </c>
      <c r="AN27" t="s">
        <v>32</v>
      </c>
      <c r="AO27" s="1">
        <v>5.0999999999999996</v>
      </c>
      <c r="AP27" s="1">
        <v>33.299999999999997</v>
      </c>
      <c r="AQ27">
        <v>49.5</v>
      </c>
      <c r="AR27">
        <v>87.2</v>
      </c>
      <c r="AS27" t="s">
        <v>3</v>
      </c>
    </row>
    <row r="28" spans="1:45" x14ac:dyDescent="0.35">
      <c r="A28" t="s">
        <v>326</v>
      </c>
      <c r="B28" t="s">
        <v>325</v>
      </c>
      <c r="C28" t="s">
        <v>279</v>
      </c>
      <c r="D28" t="s">
        <v>284</v>
      </c>
      <c r="E28" t="s">
        <v>13</v>
      </c>
      <c r="F28" t="s">
        <v>220</v>
      </c>
      <c r="G28">
        <v>18</v>
      </c>
      <c r="H28">
        <v>47</v>
      </c>
      <c r="I28" t="s">
        <v>22</v>
      </c>
      <c r="J28" t="s">
        <v>10</v>
      </c>
      <c r="K28" t="s">
        <v>21</v>
      </c>
      <c r="L28" t="s">
        <v>3</v>
      </c>
      <c r="M28" t="s">
        <v>3</v>
      </c>
      <c r="N28" t="s">
        <v>8</v>
      </c>
      <c r="O28" t="s">
        <v>0</v>
      </c>
      <c r="P28" t="s">
        <v>50</v>
      </c>
      <c r="Q28">
        <v>93516</v>
      </c>
      <c r="R28" s="1">
        <v>-12.1</v>
      </c>
      <c r="S28">
        <v>3</v>
      </c>
      <c r="T28">
        <v>16.8</v>
      </c>
      <c r="U28" t="s">
        <v>3</v>
      </c>
      <c r="V28" t="s">
        <v>3</v>
      </c>
      <c r="W28">
        <v>94</v>
      </c>
      <c r="X28">
        <v>7</v>
      </c>
      <c r="Y28" t="s">
        <v>3</v>
      </c>
      <c r="Z28">
        <v>34.93</v>
      </c>
      <c r="AA28">
        <v>19.579999999999998</v>
      </c>
      <c r="AB28" s="1">
        <v>43.945032922988844</v>
      </c>
      <c r="AC28" s="1">
        <v>0</v>
      </c>
      <c r="AD28" t="s">
        <v>28</v>
      </c>
      <c r="AE28" s="1">
        <v>0</v>
      </c>
      <c r="AF28" t="s">
        <v>134</v>
      </c>
      <c r="AG28" t="s">
        <v>0</v>
      </c>
      <c r="AH28">
        <v>4</v>
      </c>
      <c r="AI28">
        <v>0</v>
      </c>
      <c r="AJ28" t="s">
        <v>3</v>
      </c>
      <c r="AK28" t="s">
        <v>54</v>
      </c>
      <c r="AL28">
        <v>10</v>
      </c>
      <c r="AM28" t="s">
        <v>3</v>
      </c>
      <c r="AN28" t="s">
        <v>1</v>
      </c>
      <c r="AO28" s="1">
        <v>45.8</v>
      </c>
      <c r="AP28" s="1">
        <v>77.5</v>
      </c>
      <c r="AQ28">
        <v>7.7</v>
      </c>
      <c r="AR28">
        <v>68.7</v>
      </c>
      <c r="AS28" t="s">
        <v>0</v>
      </c>
    </row>
    <row r="29" spans="1:45" x14ac:dyDescent="0.35">
      <c r="A29" t="s">
        <v>324</v>
      </c>
      <c r="B29" t="s">
        <v>323</v>
      </c>
      <c r="C29" t="s">
        <v>279</v>
      </c>
      <c r="D29" t="s">
        <v>299</v>
      </c>
      <c r="E29" t="s">
        <v>13</v>
      </c>
      <c r="F29" t="s">
        <v>287</v>
      </c>
      <c r="G29">
        <v>13</v>
      </c>
      <c r="H29">
        <v>91</v>
      </c>
      <c r="I29" t="s">
        <v>22</v>
      </c>
      <c r="J29" t="s">
        <v>51</v>
      </c>
      <c r="K29" t="s">
        <v>21</v>
      </c>
      <c r="L29" t="s">
        <v>3</v>
      </c>
      <c r="M29" t="s">
        <v>3</v>
      </c>
      <c r="N29" t="s">
        <v>34</v>
      </c>
      <c r="O29" t="s">
        <v>3</v>
      </c>
      <c r="P29" t="s">
        <v>72</v>
      </c>
      <c r="Q29">
        <v>397418</v>
      </c>
      <c r="R29" s="1">
        <v>5.8</v>
      </c>
      <c r="S29">
        <v>1</v>
      </c>
      <c r="T29">
        <v>17.8</v>
      </c>
      <c r="U29" t="s">
        <v>3</v>
      </c>
      <c r="V29" t="s">
        <v>3</v>
      </c>
      <c r="W29">
        <v>115</v>
      </c>
      <c r="X29">
        <v>9</v>
      </c>
      <c r="Y29" t="s">
        <v>3</v>
      </c>
      <c r="Z29">
        <v>14.91</v>
      </c>
      <c r="AA29">
        <v>7.24</v>
      </c>
      <c r="AB29" s="1">
        <v>51.441985244802147</v>
      </c>
      <c r="AC29" s="1">
        <v>332792</v>
      </c>
      <c r="AD29" t="s">
        <v>49</v>
      </c>
      <c r="AE29" s="1">
        <v>5.6162664135154729E-2</v>
      </c>
      <c r="AF29" t="s">
        <v>118</v>
      </c>
      <c r="AG29" t="s">
        <v>3</v>
      </c>
      <c r="AH29">
        <v>1</v>
      </c>
      <c r="AI29">
        <v>3</v>
      </c>
      <c r="AJ29" t="s">
        <v>3</v>
      </c>
      <c r="AK29" t="s">
        <v>2</v>
      </c>
      <c r="AL29">
        <v>9</v>
      </c>
      <c r="AM29" t="s">
        <v>3</v>
      </c>
      <c r="AN29" t="s">
        <v>32</v>
      </c>
      <c r="AO29" s="1">
        <v>74.5</v>
      </c>
      <c r="AP29" s="1">
        <v>36.1</v>
      </c>
      <c r="AQ29">
        <v>10.9</v>
      </c>
      <c r="AR29">
        <v>43.6</v>
      </c>
      <c r="AS29" t="s">
        <v>0</v>
      </c>
    </row>
    <row r="30" spans="1:45" x14ac:dyDescent="0.35">
      <c r="A30" t="s">
        <v>322</v>
      </c>
      <c r="B30" t="s">
        <v>321</v>
      </c>
      <c r="C30" t="s">
        <v>279</v>
      </c>
      <c r="D30" t="s">
        <v>299</v>
      </c>
      <c r="E30" t="s">
        <v>24</v>
      </c>
      <c r="F30" t="s">
        <v>220</v>
      </c>
      <c r="G30">
        <v>20</v>
      </c>
      <c r="H30">
        <v>54</v>
      </c>
      <c r="I30" t="s">
        <v>22</v>
      </c>
      <c r="J30" t="s">
        <v>10</v>
      </c>
      <c r="K30" t="s">
        <v>9</v>
      </c>
      <c r="L30" t="s">
        <v>3</v>
      </c>
      <c r="M30" t="s">
        <v>0</v>
      </c>
      <c r="N30" t="s">
        <v>34</v>
      </c>
      <c r="O30" t="s">
        <v>3</v>
      </c>
      <c r="P30" t="s">
        <v>72</v>
      </c>
      <c r="Q30">
        <v>346030</v>
      </c>
      <c r="R30" s="1">
        <v>-7.2</v>
      </c>
      <c r="S30">
        <v>4</v>
      </c>
      <c r="T30">
        <v>8.4</v>
      </c>
      <c r="U30" t="s">
        <v>3</v>
      </c>
      <c r="V30" t="s">
        <v>0</v>
      </c>
      <c r="W30">
        <v>193</v>
      </c>
      <c r="X30">
        <v>4</v>
      </c>
      <c r="Y30" t="s">
        <v>0</v>
      </c>
      <c r="Z30">
        <v>28.39</v>
      </c>
      <c r="AA30">
        <v>19.100000000000001</v>
      </c>
      <c r="AB30" s="1">
        <v>32.722789714688268</v>
      </c>
      <c r="AC30" s="1">
        <v>0</v>
      </c>
      <c r="AD30" t="s">
        <v>28</v>
      </c>
      <c r="AE30" s="1">
        <v>0</v>
      </c>
      <c r="AF30" t="s">
        <v>143</v>
      </c>
      <c r="AG30" t="s">
        <v>0</v>
      </c>
      <c r="AH30">
        <v>4</v>
      </c>
      <c r="AI30">
        <v>0</v>
      </c>
      <c r="AJ30" t="s">
        <v>0</v>
      </c>
      <c r="AK30" t="s">
        <v>18</v>
      </c>
      <c r="AL30">
        <v>0</v>
      </c>
      <c r="AM30" t="s">
        <v>0</v>
      </c>
      <c r="AN30" t="s">
        <v>1</v>
      </c>
      <c r="AO30" s="1">
        <v>2.9</v>
      </c>
      <c r="AP30" s="1">
        <v>29.1</v>
      </c>
      <c r="AQ30">
        <v>39.299999999999997</v>
      </c>
      <c r="AR30">
        <v>95.3</v>
      </c>
      <c r="AS30" t="s">
        <v>0</v>
      </c>
    </row>
    <row r="31" spans="1:45" x14ac:dyDescent="0.35">
      <c r="A31" t="s">
        <v>320</v>
      </c>
      <c r="B31" t="s">
        <v>319</v>
      </c>
      <c r="C31" t="s">
        <v>279</v>
      </c>
      <c r="D31" t="s">
        <v>299</v>
      </c>
      <c r="E31" t="s">
        <v>13</v>
      </c>
      <c r="F31" t="s">
        <v>287</v>
      </c>
      <c r="G31">
        <v>14</v>
      </c>
      <c r="H31">
        <v>73</v>
      </c>
      <c r="I31" t="s">
        <v>22</v>
      </c>
      <c r="J31" t="s">
        <v>35</v>
      </c>
      <c r="K31" t="s">
        <v>21</v>
      </c>
      <c r="L31" t="s">
        <v>0</v>
      </c>
      <c r="M31" t="s">
        <v>3</v>
      </c>
      <c r="N31" t="s">
        <v>34</v>
      </c>
      <c r="O31" t="s">
        <v>3</v>
      </c>
      <c r="P31" t="s">
        <v>6</v>
      </c>
      <c r="Q31">
        <v>23198</v>
      </c>
      <c r="R31" s="1">
        <v>23.3</v>
      </c>
      <c r="S31">
        <v>5</v>
      </c>
      <c r="T31">
        <v>13.9</v>
      </c>
      <c r="U31" t="s">
        <v>3</v>
      </c>
      <c r="V31" t="s">
        <v>3</v>
      </c>
      <c r="W31">
        <v>30</v>
      </c>
      <c r="X31">
        <v>4</v>
      </c>
      <c r="Y31" t="s">
        <v>3</v>
      </c>
      <c r="Z31">
        <v>31.82</v>
      </c>
      <c r="AA31">
        <v>17.32</v>
      </c>
      <c r="AB31" s="1">
        <v>45.568824638592083</v>
      </c>
      <c r="AC31" s="1">
        <v>218533</v>
      </c>
      <c r="AD31" t="s">
        <v>49</v>
      </c>
      <c r="AE31" s="1">
        <v>0.29605084727118103</v>
      </c>
      <c r="AF31" t="s">
        <v>118</v>
      </c>
      <c r="AG31" t="s">
        <v>3</v>
      </c>
      <c r="AH31">
        <v>4</v>
      </c>
      <c r="AI31">
        <v>3</v>
      </c>
      <c r="AJ31" t="s">
        <v>3</v>
      </c>
      <c r="AK31" t="s">
        <v>18</v>
      </c>
      <c r="AL31">
        <v>0</v>
      </c>
      <c r="AM31" t="s">
        <v>3</v>
      </c>
      <c r="AN31" t="s">
        <v>1</v>
      </c>
      <c r="AO31" s="1">
        <v>98.4</v>
      </c>
      <c r="AP31" s="1">
        <v>13.8</v>
      </c>
      <c r="AQ31">
        <v>14.2</v>
      </c>
      <c r="AR31">
        <v>96.7</v>
      </c>
      <c r="AS31" t="s">
        <v>0</v>
      </c>
    </row>
    <row r="32" spans="1:45" x14ac:dyDescent="0.35">
      <c r="A32" t="s">
        <v>318</v>
      </c>
      <c r="B32" t="s">
        <v>297</v>
      </c>
      <c r="C32" t="s">
        <v>279</v>
      </c>
      <c r="D32" t="s">
        <v>288</v>
      </c>
      <c r="E32" t="s">
        <v>38</v>
      </c>
      <c r="F32" t="s">
        <v>287</v>
      </c>
      <c r="G32">
        <v>3</v>
      </c>
      <c r="H32">
        <v>65</v>
      </c>
      <c r="I32" t="s">
        <v>11</v>
      </c>
      <c r="J32" t="s">
        <v>51</v>
      </c>
      <c r="K32" t="s">
        <v>21</v>
      </c>
      <c r="L32" t="s">
        <v>3</v>
      </c>
      <c r="M32" t="s">
        <v>3</v>
      </c>
      <c r="N32" t="s">
        <v>34</v>
      </c>
      <c r="O32" t="s">
        <v>3</v>
      </c>
      <c r="P32" t="s">
        <v>79</v>
      </c>
      <c r="Q32">
        <v>18587</v>
      </c>
      <c r="R32" s="1">
        <v>35.299999999999997</v>
      </c>
      <c r="S32">
        <v>3</v>
      </c>
      <c r="T32">
        <v>13.6</v>
      </c>
      <c r="U32" t="s">
        <v>3</v>
      </c>
      <c r="V32" t="s">
        <v>3</v>
      </c>
      <c r="W32">
        <v>218</v>
      </c>
      <c r="Y32" t="s">
        <v>3</v>
      </c>
      <c r="Z32">
        <v>6.81</v>
      </c>
      <c r="AA32">
        <v>3.27</v>
      </c>
      <c r="AB32" s="1">
        <v>51.982378854625544</v>
      </c>
      <c r="AC32" s="1">
        <v>0</v>
      </c>
      <c r="AD32" t="s">
        <v>28</v>
      </c>
      <c r="AE32" s="1">
        <v>0</v>
      </c>
      <c r="AF32" t="s">
        <v>129</v>
      </c>
      <c r="AG32" t="s">
        <v>0</v>
      </c>
      <c r="AH32">
        <v>2</v>
      </c>
      <c r="AI32">
        <v>0</v>
      </c>
      <c r="AJ32" t="s">
        <v>3</v>
      </c>
      <c r="AK32" t="s">
        <v>54</v>
      </c>
      <c r="AL32">
        <v>3</v>
      </c>
      <c r="AM32" t="s">
        <v>3</v>
      </c>
      <c r="AN32" t="s">
        <v>32</v>
      </c>
      <c r="AO32" s="1">
        <v>39.6</v>
      </c>
      <c r="AP32" s="1">
        <v>31.7</v>
      </c>
      <c r="AQ32">
        <v>20.3</v>
      </c>
      <c r="AR32">
        <v>60</v>
      </c>
      <c r="AS32" t="s">
        <v>3</v>
      </c>
    </row>
    <row r="33" spans="1:45" x14ac:dyDescent="0.35">
      <c r="A33" t="s">
        <v>317</v>
      </c>
      <c r="B33" t="s">
        <v>316</v>
      </c>
      <c r="C33" t="s">
        <v>279</v>
      </c>
      <c r="D33" t="s">
        <v>278</v>
      </c>
      <c r="E33" t="s">
        <v>24</v>
      </c>
      <c r="F33" t="s">
        <v>220</v>
      </c>
      <c r="G33">
        <v>7</v>
      </c>
      <c r="H33">
        <v>37</v>
      </c>
      <c r="I33" t="s">
        <v>22</v>
      </c>
      <c r="J33" t="s">
        <v>10</v>
      </c>
      <c r="K33" t="s">
        <v>9</v>
      </c>
      <c r="L33" t="s">
        <v>3</v>
      </c>
      <c r="M33" t="s">
        <v>3</v>
      </c>
      <c r="N33" t="s">
        <v>34</v>
      </c>
      <c r="O33" t="s">
        <v>3</v>
      </c>
      <c r="P33" t="s">
        <v>60</v>
      </c>
      <c r="Q33">
        <v>485194</v>
      </c>
      <c r="R33" s="1">
        <v>17.7</v>
      </c>
      <c r="S33">
        <v>4</v>
      </c>
      <c r="T33">
        <v>16.3</v>
      </c>
      <c r="U33" t="s">
        <v>3</v>
      </c>
      <c r="V33" t="s">
        <v>3</v>
      </c>
      <c r="W33">
        <v>170</v>
      </c>
      <c r="X33">
        <v>8</v>
      </c>
      <c r="Y33" t="s">
        <v>3</v>
      </c>
      <c r="Z33">
        <v>8.66</v>
      </c>
      <c r="AA33">
        <v>4.5599999999999996</v>
      </c>
      <c r="AB33" s="1">
        <v>47.344110854503469</v>
      </c>
      <c r="AC33" s="1">
        <v>219739</v>
      </c>
      <c r="AD33" t="s">
        <v>19</v>
      </c>
      <c r="AE33" s="1">
        <v>5.2296645209443188E-2</v>
      </c>
      <c r="AF33" t="s">
        <v>118</v>
      </c>
      <c r="AG33" t="s">
        <v>3</v>
      </c>
      <c r="AH33">
        <v>0</v>
      </c>
      <c r="AI33">
        <v>2</v>
      </c>
      <c r="AJ33" t="s">
        <v>3</v>
      </c>
      <c r="AK33" t="s">
        <v>2</v>
      </c>
      <c r="AL33">
        <v>9</v>
      </c>
      <c r="AM33" t="s">
        <v>0</v>
      </c>
      <c r="AN33" t="s">
        <v>32</v>
      </c>
      <c r="AO33" s="1">
        <v>61.5</v>
      </c>
      <c r="AP33" s="1">
        <v>45.5</v>
      </c>
      <c r="AQ33">
        <v>25.8</v>
      </c>
      <c r="AR33">
        <v>73.3</v>
      </c>
      <c r="AS33" t="s">
        <v>0</v>
      </c>
    </row>
    <row r="34" spans="1:45" x14ac:dyDescent="0.35">
      <c r="A34" t="s">
        <v>315</v>
      </c>
      <c r="B34" t="s">
        <v>314</v>
      </c>
      <c r="C34" t="s">
        <v>279</v>
      </c>
      <c r="D34" t="s">
        <v>284</v>
      </c>
      <c r="E34" t="s">
        <v>24</v>
      </c>
      <c r="F34" t="s">
        <v>66</v>
      </c>
      <c r="G34">
        <v>23</v>
      </c>
      <c r="H34">
        <v>25</v>
      </c>
      <c r="I34" t="s">
        <v>22</v>
      </c>
      <c r="J34" t="s">
        <v>10</v>
      </c>
      <c r="K34" t="s">
        <v>21</v>
      </c>
      <c r="L34" t="s">
        <v>3</v>
      </c>
      <c r="M34" t="s">
        <v>3</v>
      </c>
      <c r="N34" t="s">
        <v>34</v>
      </c>
      <c r="O34" t="s">
        <v>3</v>
      </c>
      <c r="P34" t="s">
        <v>60</v>
      </c>
      <c r="Q34">
        <v>450997</v>
      </c>
      <c r="R34" s="1">
        <v>6.3</v>
      </c>
      <c r="S34">
        <v>4</v>
      </c>
      <c r="T34">
        <v>12.9</v>
      </c>
      <c r="U34" t="s">
        <v>3</v>
      </c>
      <c r="V34" t="s">
        <v>3</v>
      </c>
      <c r="W34">
        <v>149</v>
      </c>
      <c r="X34">
        <v>9</v>
      </c>
      <c r="Y34" t="s">
        <v>3</v>
      </c>
      <c r="Z34">
        <v>19.2</v>
      </c>
      <c r="AA34">
        <v>11.31</v>
      </c>
      <c r="AB34" s="1">
        <v>41.093749999999993</v>
      </c>
      <c r="AC34" s="1">
        <v>0</v>
      </c>
      <c r="AD34" t="s">
        <v>28</v>
      </c>
      <c r="AE34" s="1">
        <v>0</v>
      </c>
      <c r="AF34" t="s">
        <v>129</v>
      </c>
      <c r="AG34" t="s">
        <v>3</v>
      </c>
      <c r="AH34">
        <v>0</v>
      </c>
      <c r="AI34">
        <v>3</v>
      </c>
      <c r="AJ34" t="s">
        <v>3</v>
      </c>
      <c r="AK34" t="s">
        <v>2</v>
      </c>
      <c r="AL34">
        <v>12</v>
      </c>
      <c r="AM34" t="s">
        <v>3</v>
      </c>
      <c r="AN34" t="s">
        <v>48</v>
      </c>
      <c r="AO34" s="1">
        <v>33.299999999999997</v>
      </c>
      <c r="AP34" s="1">
        <v>50.8</v>
      </c>
      <c r="AQ34">
        <v>11.4</v>
      </c>
      <c r="AR34">
        <v>61</v>
      </c>
      <c r="AS34" t="s">
        <v>0</v>
      </c>
    </row>
    <row r="35" spans="1:45" x14ac:dyDescent="0.35">
      <c r="A35" t="s">
        <v>313</v>
      </c>
      <c r="B35" t="s">
        <v>312</v>
      </c>
      <c r="C35" t="s">
        <v>279</v>
      </c>
      <c r="D35" t="s">
        <v>278</v>
      </c>
      <c r="E35" t="s">
        <v>38</v>
      </c>
      <c r="F35" t="s">
        <v>123</v>
      </c>
      <c r="G35">
        <v>21</v>
      </c>
      <c r="H35">
        <v>100</v>
      </c>
      <c r="I35" t="s">
        <v>22</v>
      </c>
      <c r="J35" t="s">
        <v>61</v>
      </c>
      <c r="K35" t="s">
        <v>21</v>
      </c>
      <c r="L35" t="s">
        <v>3</v>
      </c>
      <c r="M35" t="s">
        <v>3</v>
      </c>
      <c r="N35" t="s">
        <v>34</v>
      </c>
      <c r="O35" t="s">
        <v>3</v>
      </c>
      <c r="P35" t="s">
        <v>6</v>
      </c>
      <c r="Q35">
        <v>89558</v>
      </c>
      <c r="R35" s="1">
        <v>1.8</v>
      </c>
      <c r="S35">
        <v>2</v>
      </c>
      <c r="T35">
        <v>19.3</v>
      </c>
      <c r="U35" t="s">
        <v>3</v>
      </c>
      <c r="V35" t="s">
        <v>3</v>
      </c>
      <c r="W35">
        <v>103</v>
      </c>
      <c r="X35">
        <v>6</v>
      </c>
      <c r="Y35" t="s">
        <v>0</v>
      </c>
      <c r="Z35">
        <v>12.04</v>
      </c>
      <c r="AA35">
        <v>5.64</v>
      </c>
      <c r="AB35" s="1">
        <v>53.156146179402</v>
      </c>
      <c r="AC35" s="1">
        <v>0</v>
      </c>
      <c r="AD35" t="s">
        <v>28</v>
      </c>
      <c r="AE35" s="1">
        <v>0</v>
      </c>
      <c r="AF35" t="s">
        <v>134</v>
      </c>
      <c r="AG35" t="s">
        <v>3</v>
      </c>
      <c r="AH35">
        <v>4</v>
      </c>
      <c r="AI35">
        <v>0</v>
      </c>
      <c r="AJ35" t="s">
        <v>3</v>
      </c>
      <c r="AK35" t="s">
        <v>2</v>
      </c>
      <c r="AL35">
        <v>22</v>
      </c>
      <c r="AM35" t="s">
        <v>3</v>
      </c>
      <c r="AN35" t="s">
        <v>1</v>
      </c>
      <c r="AO35" s="1">
        <v>15.4</v>
      </c>
      <c r="AP35" s="1">
        <v>22.7</v>
      </c>
      <c r="AQ35">
        <v>36.200000000000003</v>
      </c>
      <c r="AR35">
        <v>77.5</v>
      </c>
      <c r="AS35" t="s">
        <v>0</v>
      </c>
    </row>
    <row r="36" spans="1:45" x14ac:dyDescent="0.35">
      <c r="A36" t="s">
        <v>311</v>
      </c>
      <c r="B36" t="s">
        <v>271</v>
      </c>
      <c r="C36" t="s">
        <v>279</v>
      </c>
      <c r="D36" t="s">
        <v>278</v>
      </c>
      <c r="E36" t="s">
        <v>38</v>
      </c>
      <c r="F36" t="s">
        <v>282</v>
      </c>
      <c r="G36">
        <v>10</v>
      </c>
      <c r="H36">
        <v>118</v>
      </c>
      <c r="I36" t="s">
        <v>22</v>
      </c>
      <c r="J36" t="s">
        <v>35</v>
      </c>
      <c r="K36" t="s">
        <v>21</v>
      </c>
      <c r="L36" t="s">
        <v>3</v>
      </c>
      <c r="M36" t="s">
        <v>3</v>
      </c>
      <c r="N36" t="s">
        <v>8</v>
      </c>
      <c r="O36" t="s">
        <v>3</v>
      </c>
      <c r="P36" t="s">
        <v>6</v>
      </c>
      <c r="Q36">
        <v>435630</v>
      </c>
      <c r="R36" s="1">
        <v>36.799999999999997</v>
      </c>
      <c r="S36">
        <v>4</v>
      </c>
      <c r="T36">
        <v>11.9</v>
      </c>
      <c r="U36" t="s">
        <v>3</v>
      </c>
      <c r="V36" t="s">
        <v>3</v>
      </c>
      <c r="W36">
        <v>275</v>
      </c>
      <c r="X36">
        <v>9</v>
      </c>
      <c r="Y36" t="s">
        <v>0</v>
      </c>
      <c r="Z36">
        <v>37.86</v>
      </c>
      <c r="AA36">
        <v>25.39</v>
      </c>
      <c r="AB36" s="1">
        <v>32.937136819862651</v>
      </c>
      <c r="AC36" s="1">
        <v>200003</v>
      </c>
      <c r="AD36" t="s">
        <v>49</v>
      </c>
      <c r="AE36" s="1">
        <v>1.2126573970827951E-2</v>
      </c>
      <c r="AF36" t="s">
        <v>134</v>
      </c>
      <c r="AG36" t="s">
        <v>3</v>
      </c>
      <c r="AH36">
        <v>4</v>
      </c>
      <c r="AI36">
        <v>0</v>
      </c>
      <c r="AJ36" t="s">
        <v>3</v>
      </c>
      <c r="AK36" t="s">
        <v>2</v>
      </c>
      <c r="AL36">
        <v>9</v>
      </c>
      <c r="AM36" t="s">
        <v>3</v>
      </c>
      <c r="AN36" t="s">
        <v>48</v>
      </c>
      <c r="AO36" s="1">
        <v>83.1</v>
      </c>
      <c r="AP36" s="1">
        <v>16.399999999999999</v>
      </c>
      <c r="AQ36">
        <v>46</v>
      </c>
      <c r="AR36">
        <v>89</v>
      </c>
      <c r="AS36" t="s">
        <v>0</v>
      </c>
    </row>
    <row r="37" spans="1:45" x14ac:dyDescent="0.35">
      <c r="A37" t="s">
        <v>310</v>
      </c>
      <c r="B37" t="s">
        <v>309</v>
      </c>
      <c r="C37" t="s">
        <v>279</v>
      </c>
      <c r="D37" t="s">
        <v>299</v>
      </c>
      <c r="E37" t="s">
        <v>38</v>
      </c>
      <c r="F37" t="s">
        <v>123</v>
      </c>
      <c r="G37">
        <v>27</v>
      </c>
      <c r="H37">
        <v>106</v>
      </c>
      <c r="I37" t="s">
        <v>22</v>
      </c>
      <c r="J37" t="s">
        <v>35</v>
      </c>
      <c r="K37" t="s">
        <v>21</v>
      </c>
      <c r="L37" t="s">
        <v>0</v>
      </c>
      <c r="M37" t="s">
        <v>3</v>
      </c>
      <c r="N37" t="s">
        <v>34</v>
      </c>
      <c r="O37" t="s">
        <v>3</v>
      </c>
      <c r="P37" t="s">
        <v>60</v>
      </c>
      <c r="Q37">
        <v>79840</v>
      </c>
      <c r="R37" s="1">
        <v>-2.8</v>
      </c>
      <c r="S37">
        <v>4</v>
      </c>
      <c r="T37">
        <v>15.4</v>
      </c>
      <c r="U37" t="s">
        <v>3</v>
      </c>
      <c r="V37" t="s">
        <v>3</v>
      </c>
      <c r="W37">
        <v>234</v>
      </c>
      <c r="X37">
        <v>12</v>
      </c>
      <c r="Y37" t="s">
        <v>3</v>
      </c>
      <c r="Z37">
        <v>9.09</v>
      </c>
      <c r="AA37">
        <v>4.1100000000000003</v>
      </c>
      <c r="AB37" s="1">
        <v>54.78547854785478</v>
      </c>
      <c r="AC37" s="1">
        <v>0</v>
      </c>
      <c r="AD37" t="s">
        <v>28</v>
      </c>
      <c r="AE37" s="1">
        <v>0</v>
      </c>
      <c r="AF37" t="s">
        <v>7</v>
      </c>
      <c r="AG37" t="s">
        <v>0</v>
      </c>
      <c r="AH37">
        <v>4</v>
      </c>
      <c r="AI37">
        <v>3</v>
      </c>
      <c r="AJ37" t="s">
        <v>3</v>
      </c>
      <c r="AK37" t="s">
        <v>2</v>
      </c>
      <c r="AL37">
        <v>20</v>
      </c>
      <c r="AM37" t="s">
        <v>7</v>
      </c>
      <c r="AN37" t="s">
        <v>32</v>
      </c>
      <c r="AO37" s="1">
        <v>23.8</v>
      </c>
      <c r="AP37" s="1">
        <v>54.7</v>
      </c>
      <c r="AQ37">
        <v>33</v>
      </c>
      <c r="AR37">
        <v>43.8</v>
      </c>
      <c r="AS37" t="s">
        <v>0</v>
      </c>
    </row>
    <row r="38" spans="1:45" x14ac:dyDescent="0.35">
      <c r="A38" t="s">
        <v>308</v>
      </c>
      <c r="B38" t="s">
        <v>307</v>
      </c>
      <c r="C38" t="s">
        <v>279</v>
      </c>
      <c r="D38" t="s">
        <v>284</v>
      </c>
      <c r="E38" t="s">
        <v>38</v>
      </c>
      <c r="F38" t="s">
        <v>220</v>
      </c>
      <c r="G38">
        <v>17</v>
      </c>
      <c r="H38">
        <v>61</v>
      </c>
      <c r="I38" t="s">
        <v>11</v>
      </c>
      <c r="J38" t="s">
        <v>61</v>
      </c>
      <c r="K38" t="s">
        <v>21</v>
      </c>
      <c r="L38" t="s">
        <v>3</v>
      </c>
      <c r="M38" t="s">
        <v>3</v>
      </c>
      <c r="N38" t="s">
        <v>34</v>
      </c>
      <c r="O38" t="s">
        <v>3</v>
      </c>
      <c r="P38" t="s">
        <v>72</v>
      </c>
      <c r="Q38">
        <v>345985</v>
      </c>
      <c r="R38" s="1">
        <v>27.2</v>
      </c>
      <c r="S38">
        <v>5</v>
      </c>
      <c r="T38">
        <v>13.3</v>
      </c>
      <c r="U38" t="s">
        <v>3</v>
      </c>
      <c r="V38" t="s">
        <v>3</v>
      </c>
      <c r="W38">
        <v>203</v>
      </c>
      <c r="X38">
        <v>8</v>
      </c>
      <c r="Y38" t="s">
        <v>3</v>
      </c>
      <c r="Z38">
        <v>6.63</v>
      </c>
      <c r="AA38">
        <v>4.41</v>
      </c>
      <c r="AB38" s="1">
        <v>33.484162895927597</v>
      </c>
      <c r="AC38" s="1">
        <v>586353</v>
      </c>
      <c r="AD38" t="s">
        <v>65</v>
      </c>
      <c r="AE38" s="1">
        <v>0.25561618716371259</v>
      </c>
      <c r="AF38" t="s">
        <v>129</v>
      </c>
      <c r="AG38" t="s">
        <v>3</v>
      </c>
      <c r="AH38">
        <v>0</v>
      </c>
      <c r="AI38">
        <v>2</v>
      </c>
      <c r="AJ38" t="s">
        <v>3</v>
      </c>
      <c r="AK38" t="s">
        <v>18</v>
      </c>
      <c r="AL38">
        <v>0</v>
      </c>
      <c r="AM38" t="s">
        <v>7</v>
      </c>
      <c r="AN38" t="s">
        <v>1</v>
      </c>
      <c r="AO38" s="1">
        <v>98.1</v>
      </c>
      <c r="AP38" s="1">
        <v>43.5</v>
      </c>
      <c r="AQ38">
        <v>13.2</v>
      </c>
      <c r="AR38">
        <v>48.1</v>
      </c>
      <c r="AS38" t="s">
        <v>0</v>
      </c>
    </row>
    <row r="39" spans="1:45" x14ac:dyDescent="0.35">
      <c r="A39" t="s">
        <v>306</v>
      </c>
      <c r="B39" t="s">
        <v>88</v>
      </c>
      <c r="C39" t="s">
        <v>279</v>
      </c>
      <c r="D39" t="s">
        <v>284</v>
      </c>
      <c r="E39" t="s">
        <v>13</v>
      </c>
      <c r="F39" t="s">
        <v>287</v>
      </c>
      <c r="G39">
        <v>9</v>
      </c>
      <c r="H39">
        <v>19</v>
      </c>
      <c r="I39" t="s">
        <v>22</v>
      </c>
      <c r="J39" t="s">
        <v>29</v>
      </c>
      <c r="K39" t="s">
        <v>21</v>
      </c>
      <c r="L39" t="s">
        <v>3</v>
      </c>
      <c r="M39" t="s">
        <v>3</v>
      </c>
      <c r="N39" t="s">
        <v>34</v>
      </c>
      <c r="O39" t="s">
        <v>3</v>
      </c>
      <c r="P39" t="s">
        <v>6</v>
      </c>
      <c r="Q39">
        <v>489385</v>
      </c>
      <c r="R39" s="1">
        <v>-17.100000000000001</v>
      </c>
      <c r="S39">
        <v>3</v>
      </c>
      <c r="T39">
        <v>9.1</v>
      </c>
      <c r="U39" t="s">
        <v>3</v>
      </c>
      <c r="V39" t="s">
        <v>7</v>
      </c>
      <c r="W39">
        <v>209</v>
      </c>
      <c r="X39">
        <v>10</v>
      </c>
      <c r="Y39" t="s">
        <v>0</v>
      </c>
      <c r="Z39">
        <v>21.08</v>
      </c>
      <c r="AA39">
        <v>15.59</v>
      </c>
      <c r="AB39" s="1">
        <v>26.043643263757112</v>
      </c>
      <c r="AC39" s="1">
        <v>398019</v>
      </c>
      <c r="AD39" t="s">
        <v>65</v>
      </c>
      <c r="AE39" s="1">
        <v>3.8581805196814138E-2</v>
      </c>
      <c r="AF39" t="s">
        <v>118</v>
      </c>
      <c r="AG39" t="s">
        <v>3</v>
      </c>
      <c r="AH39">
        <v>3</v>
      </c>
      <c r="AI39">
        <v>0</v>
      </c>
      <c r="AJ39" t="s">
        <v>3</v>
      </c>
      <c r="AK39" t="s">
        <v>54</v>
      </c>
      <c r="AL39">
        <v>4</v>
      </c>
      <c r="AM39" t="s">
        <v>3</v>
      </c>
      <c r="AN39" t="s">
        <v>32</v>
      </c>
      <c r="AO39" s="1">
        <v>32.799999999999997</v>
      </c>
      <c r="AP39" s="1">
        <v>30.7</v>
      </c>
      <c r="AQ39">
        <v>25.1</v>
      </c>
      <c r="AR39">
        <v>83.1</v>
      </c>
      <c r="AS39" t="s">
        <v>3</v>
      </c>
    </row>
    <row r="40" spans="1:45" x14ac:dyDescent="0.35">
      <c r="A40" t="s">
        <v>305</v>
      </c>
      <c r="B40" t="s">
        <v>230</v>
      </c>
      <c r="C40" t="s">
        <v>279</v>
      </c>
      <c r="D40" t="s">
        <v>288</v>
      </c>
      <c r="E40" t="s">
        <v>24</v>
      </c>
      <c r="F40" t="s">
        <v>220</v>
      </c>
      <c r="G40">
        <v>22</v>
      </c>
      <c r="H40">
        <v>96</v>
      </c>
      <c r="I40" t="s">
        <v>22</v>
      </c>
      <c r="J40" t="s">
        <v>29</v>
      </c>
      <c r="K40" t="s">
        <v>9</v>
      </c>
      <c r="L40" t="s">
        <v>3</v>
      </c>
      <c r="M40" t="s">
        <v>0</v>
      </c>
      <c r="N40" t="s">
        <v>34</v>
      </c>
      <c r="O40" t="s">
        <v>0</v>
      </c>
      <c r="P40" t="s">
        <v>72</v>
      </c>
      <c r="Q40">
        <v>473162</v>
      </c>
      <c r="R40" s="1">
        <v>20.8</v>
      </c>
      <c r="S40">
        <v>1</v>
      </c>
      <c r="T40">
        <v>7.1</v>
      </c>
      <c r="U40" t="s">
        <v>3</v>
      </c>
      <c r="V40" t="s">
        <v>3</v>
      </c>
      <c r="W40">
        <v>22</v>
      </c>
      <c r="X40">
        <v>5</v>
      </c>
      <c r="Y40" t="s">
        <v>3</v>
      </c>
      <c r="Z40">
        <v>36.36</v>
      </c>
      <c r="AA40">
        <v>18.05</v>
      </c>
      <c r="AB40" s="1">
        <v>50.357535753575355</v>
      </c>
      <c r="AC40" s="1">
        <v>453796</v>
      </c>
      <c r="AD40" t="s">
        <v>65</v>
      </c>
      <c r="AE40" s="1">
        <v>2.6377092969863136E-2</v>
      </c>
      <c r="AF40" t="s">
        <v>134</v>
      </c>
      <c r="AG40" t="s">
        <v>3</v>
      </c>
      <c r="AH40">
        <v>3</v>
      </c>
      <c r="AI40">
        <v>0</v>
      </c>
      <c r="AJ40" t="s">
        <v>3</v>
      </c>
      <c r="AK40" t="s">
        <v>18</v>
      </c>
      <c r="AL40">
        <v>0</v>
      </c>
      <c r="AM40" t="s">
        <v>3</v>
      </c>
      <c r="AN40" t="s">
        <v>1</v>
      </c>
      <c r="AO40" s="1">
        <v>65</v>
      </c>
      <c r="AP40" s="1">
        <v>27.5</v>
      </c>
      <c r="AQ40">
        <v>10.1</v>
      </c>
      <c r="AR40">
        <v>84.1</v>
      </c>
      <c r="AS40" t="s">
        <v>0</v>
      </c>
    </row>
    <row r="41" spans="1:45" x14ac:dyDescent="0.35">
      <c r="A41" t="s">
        <v>304</v>
      </c>
      <c r="B41" t="s">
        <v>303</v>
      </c>
      <c r="C41" t="s">
        <v>279</v>
      </c>
      <c r="D41" t="s">
        <v>278</v>
      </c>
      <c r="E41" t="s">
        <v>13</v>
      </c>
      <c r="F41" t="s">
        <v>12</v>
      </c>
      <c r="G41">
        <v>5</v>
      </c>
      <c r="H41">
        <v>24</v>
      </c>
      <c r="I41" t="s">
        <v>22</v>
      </c>
      <c r="J41" t="s">
        <v>35</v>
      </c>
      <c r="K41" t="s">
        <v>9</v>
      </c>
      <c r="L41" t="s">
        <v>3</v>
      </c>
      <c r="M41" t="s">
        <v>0</v>
      </c>
      <c r="N41" t="s">
        <v>34</v>
      </c>
      <c r="O41" t="s">
        <v>0</v>
      </c>
      <c r="P41" t="s">
        <v>50</v>
      </c>
      <c r="Q41">
        <v>313366</v>
      </c>
      <c r="R41" s="1">
        <v>39.799999999999997</v>
      </c>
      <c r="S41">
        <v>3</v>
      </c>
      <c r="T41">
        <v>15</v>
      </c>
      <c r="U41" t="s">
        <v>3</v>
      </c>
      <c r="V41" t="s">
        <v>3</v>
      </c>
      <c r="W41">
        <v>153</v>
      </c>
      <c r="X41">
        <v>7</v>
      </c>
      <c r="Y41" t="s">
        <v>0</v>
      </c>
      <c r="Z41">
        <v>33.76</v>
      </c>
      <c r="AA41">
        <v>24.34</v>
      </c>
      <c r="AB41" s="1">
        <v>27.902843601895732</v>
      </c>
      <c r="AC41" s="1">
        <v>634957</v>
      </c>
      <c r="AD41" t="s">
        <v>49</v>
      </c>
      <c r="AE41" s="1">
        <v>6.0019172499501137E-2</v>
      </c>
      <c r="AF41" t="s">
        <v>143</v>
      </c>
      <c r="AG41" t="s">
        <v>0</v>
      </c>
      <c r="AH41">
        <v>1</v>
      </c>
      <c r="AI41">
        <v>3</v>
      </c>
      <c r="AJ41" t="s">
        <v>3</v>
      </c>
      <c r="AK41" t="s">
        <v>2</v>
      </c>
      <c r="AL41">
        <v>13</v>
      </c>
      <c r="AM41" t="s">
        <v>3</v>
      </c>
      <c r="AN41" t="s">
        <v>48</v>
      </c>
      <c r="AO41" s="1">
        <v>61.2</v>
      </c>
      <c r="AP41" s="1">
        <v>16</v>
      </c>
      <c r="AQ41">
        <v>18.899999999999999</v>
      </c>
      <c r="AR41">
        <v>100</v>
      </c>
      <c r="AS41" t="s">
        <v>0</v>
      </c>
    </row>
    <row r="42" spans="1:45" x14ac:dyDescent="0.35">
      <c r="A42" t="s">
        <v>302</v>
      </c>
      <c r="B42" t="s">
        <v>301</v>
      </c>
      <c r="C42" t="s">
        <v>279</v>
      </c>
      <c r="D42" t="s">
        <v>288</v>
      </c>
      <c r="E42" t="s">
        <v>38</v>
      </c>
      <c r="F42" t="s">
        <v>282</v>
      </c>
      <c r="G42">
        <v>25</v>
      </c>
      <c r="H42">
        <v>31</v>
      </c>
      <c r="I42" t="s">
        <v>22</v>
      </c>
      <c r="J42" t="s">
        <v>61</v>
      </c>
      <c r="K42" t="s">
        <v>21</v>
      </c>
      <c r="L42" t="s">
        <v>3</v>
      </c>
      <c r="M42" t="s">
        <v>3</v>
      </c>
      <c r="N42" t="s">
        <v>8</v>
      </c>
      <c r="O42" t="s">
        <v>3</v>
      </c>
      <c r="P42" t="s">
        <v>79</v>
      </c>
      <c r="Q42">
        <v>145096</v>
      </c>
      <c r="R42" s="1">
        <v>11.1</v>
      </c>
      <c r="S42">
        <v>3</v>
      </c>
      <c r="T42">
        <v>7.5</v>
      </c>
      <c r="U42" t="s">
        <v>3</v>
      </c>
      <c r="V42" t="s">
        <v>3</v>
      </c>
      <c r="W42">
        <v>182</v>
      </c>
      <c r="X42">
        <v>11</v>
      </c>
      <c r="Y42" t="s">
        <v>0</v>
      </c>
      <c r="Z42">
        <v>38.99</v>
      </c>
      <c r="AA42">
        <v>17.55</v>
      </c>
      <c r="AB42" s="1">
        <v>54.988458579122856</v>
      </c>
      <c r="AC42" s="1">
        <v>440673</v>
      </c>
      <c r="AD42" t="s">
        <v>49</v>
      </c>
      <c r="AE42" s="1">
        <v>7.7894674517337711E-2</v>
      </c>
      <c r="AF42" t="s">
        <v>129</v>
      </c>
      <c r="AG42" t="s">
        <v>3</v>
      </c>
      <c r="AH42">
        <v>1</v>
      </c>
      <c r="AI42">
        <v>1</v>
      </c>
      <c r="AJ42" t="s">
        <v>3</v>
      </c>
      <c r="AK42" t="s">
        <v>2</v>
      </c>
      <c r="AL42">
        <v>18</v>
      </c>
      <c r="AM42" t="s">
        <v>0</v>
      </c>
      <c r="AN42" t="s">
        <v>1</v>
      </c>
      <c r="AO42" s="1">
        <v>84.3</v>
      </c>
      <c r="AP42" s="1">
        <v>49.5</v>
      </c>
      <c r="AQ42">
        <v>42.1</v>
      </c>
      <c r="AR42">
        <v>41.7</v>
      </c>
      <c r="AS42" t="s">
        <v>3</v>
      </c>
    </row>
    <row r="43" spans="1:45" x14ac:dyDescent="0.35">
      <c r="A43" t="s">
        <v>300</v>
      </c>
      <c r="B43" t="s">
        <v>228</v>
      </c>
      <c r="C43" t="s">
        <v>279</v>
      </c>
      <c r="D43" t="s">
        <v>299</v>
      </c>
      <c r="E43" t="s">
        <v>24</v>
      </c>
      <c r="F43" t="s">
        <v>123</v>
      </c>
      <c r="G43">
        <v>16</v>
      </c>
      <c r="H43">
        <v>46</v>
      </c>
      <c r="I43" t="s">
        <v>22</v>
      </c>
      <c r="J43" t="s">
        <v>29</v>
      </c>
      <c r="K43" t="s">
        <v>21</v>
      </c>
      <c r="L43" t="s">
        <v>0</v>
      </c>
      <c r="M43" t="s">
        <v>3</v>
      </c>
      <c r="N43" t="s">
        <v>34</v>
      </c>
      <c r="O43" t="s">
        <v>3</v>
      </c>
      <c r="P43" t="s">
        <v>42</v>
      </c>
      <c r="Q43">
        <v>118258</v>
      </c>
      <c r="R43" s="1">
        <v>21.3</v>
      </c>
      <c r="S43">
        <v>2</v>
      </c>
      <c r="T43">
        <v>11.6</v>
      </c>
      <c r="U43" t="s">
        <v>3</v>
      </c>
      <c r="V43" t="s">
        <v>3</v>
      </c>
      <c r="W43">
        <v>78</v>
      </c>
      <c r="X43">
        <v>8</v>
      </c>
      <c r="Y43" t="s">
        <v>0</v>
      </c>
      <c r="Z43">
        <v>18.45</v>
      </c>
      <c r="AA43">
        <v>13.75</v>
      </c>
      <c r="AB43" s="1">
        <v>25.474254742547426</v>
      </c>
      <c r="AC43" s="1">
        <v>318973</v>
      </c>
      <c r="AD43" t="s">
        <v>65</v>
      </c>
      <c r="AE43" s="1">
        <v>0.1461931495974467</v>
      </c>
      <c r="AF43" t="s">
        <v>129</v>
      </c>
      <c r="AG43" t="s">
        <v>3</v>
      </c>
      <c r="AH43">
        <v>3</v>
      </c>
      <c r="AI43">
        <v>0</v>
      </c>
      <c r="AJ43" t="s">
        <v>3</v>
      </c>
      <c r="AK43" t="s">
        <v>2</v>
      </c>
      <c r="AL43">
        <v>15</v>
      </c>
      <c r="AM43" t="s">
        <v>7</v>
      </c>
      <c r="AN43" t="s">
        <v>1</v>
      </c>
      <c r="AO43" s="1">
        <v>94.5</v>
      </c>
      <c r="AP43" s="1">
        <v>70.5</v>
      </c>
      <c r="AQ43">
        <v>23.8</v>
      </c>
      <c r="AR43">
        <v>97.8</v>
      </c>
      <c r="AS43" t="s">
        <v>0</v>
      </c>
    </row>
    <row r="44" spans="1:45" x14ac:dyDescent="0.35">
      <c r="A44" t="s">
        <v>298</v>
      </c>
      <c r="B44" t="s">
        <v>297</v>
      </c>
      <c r="C44" t="s">
        <v>279</v>
      </c>
      <c r="D44" t="s">
        <v>284</v>
      </c>
      <c r="E44" t="s">
        <v>24</v>
      </c>
      <c r="F44" t="s">
        <v>12</v>
      </c>
      <c r="G44">
        <v>17</v>
      </c>
      <c r="H44">
        <v>73</v>
      </c>
      <c r="I44" t="s">
        <v>22</v>
      </c>
      <c r="J44" t="s">
        <v>35</v>
      </c>
      <c r="K44" t="s">
        <v>21</v>
      </c>
      <c r="L44" t="s">
        <v>0</v>
      </c>
      <c r="M44" t="s">
        <v>3</v>
      </c>
      <c r="N44" t="s">
        <v>34</v>
      </c>
      <c r="O44" t="s">
        <v>3</v>
      </c>
      <c r="P44" t="s">
        <v>72</v>
      </c>
      <c r="Q44">
        <v>265018</v>
      </c>
      <c r="R44" s="1">
        <v>-17.100000000000001</v>
      </c>
      <c r="S44">
        <v>3</v>
      </c>
      <c r="T44">
        <v>12.4</v>
      </c>
      <c r="U44" t="s">
        <v>3</v>
      </c>
      <c r="V44" t="s">
        <v>3</v>
      </c>
      <c r="W44">
        <v>245</v>
      </c>
      <c r="X44">
        <v>7</v>
      </c>
      <c r="Y44" t="s">
        <v>3</v>
      </c>
      <c r="Z44">
        <v>39.04</v>
      </c>
      <c r="AA44">
        <v>20.39</v>
      </c>
      <c r="AB44" s="1">
        <v>47.771516393442617</v>
      </c>
      <c r="AC44" s="1">
        <v>0</v>
      </c>
      <c r="AD44" t="s">
        <v>28</v>
      </c>
      <c r="AE44" s="1">
        <v>0</v>
      </c>
      <c r="AF44" t="s">
        <v>129</v>
      </c>
      <c r="AG44" t="s">
        <v>0</v>
      </c>
      <c r="AH44">
        <v>2</v>
      </c>
      <c r="AI44">
        <v>0</v>
      </c>
      <c r="AJ44" t="s">
        <v>3</v>
      </c>
      <c r="AK44" t="s">
        <v>54</v>
      </c>
      <c r="AL44">
        <v>2</v>
      </c>
      <c r="AM44" t="s">
        <v>3</v>
      </c>
      <c r="AN44" t="s">
        <v>1</v>
      </c>
      <c r="AO44" s="1">
        <v>7.4</v>
      </c>
      <c r="AP44" s="1">
        <v>45.3</v>
      </c>
      <c r="AQ44">
        <v>39.4</v>
      </c>
      <c r="AR44">
        <v>56.8</v>
      </c>
      <c r="AS44" t="s">
        <v>0</v>
      </c>
    </row>
    <row r="45" spans="1:45" x14ac:dyDescent="0.35">
      <c r="A45" t="s">
        <v>296</v>
      </c>
      <c r="B45" t="s">
        <v>295</v>
      </c>
      <c r="C45" t="s">
        <v>279</v>
      </c>
      <c r="D45" t="s">
        <v>288</v>
      </c>
      <c r="E45" t="s">
        <v>38</v>
      </c>
      <c r="F45" t="s">
        <v>12</v>
      </c>
      <c r="G45">
        <v>20</v>
      </c>
      <c r="H45">
        <v>80</v>
      </c>
      <c r="I45" t="s">
        <v>22</v>
      </c>
      <c r="J45" t="s">
        <v>61</v>
      </c>
      <c r="K45" t="s">
        <v>21</v>
      </c>
      <c r="L45" t="s">
        <v>3</v>
      </c>
      <c r="M45" t="s">
        <v>0</v>
      </c>
      <c r="N45" t="s">
        <v>8</v>
      </c>
      <c r="O45" t="s">
        <v>0</v>
      </c>
      <c r="P45" t="s">
        <v>79</v>
      </c>
      <c r="Q45">
        <v>92628</v>
      </c>
      <c r="R45" s="1">
        <v>-17.7</v>
      </c>
      <c r="S45">
        <v>3</v>
      </c>
      <c r="T45">
        <v>17.100000000000001</v>
      </c>
      <c r="U45" t="s">
        <v>3</v>
      </c>
      <c r="V45" t="s">
        <v>3</v>
      </c>
      <c r="W45">
        <v>268</v>
      </c>
      <c r="X45">
        <v>5</v>
      </c>
      <c r="Y45" t="s">
        <v>3</v>
      </c>
      <c r="Z45">
        <v>29.91</v>
      </c>
      <c r="AA45">
        <v>12.41</v>
      </c>
      <c r="AB45" s="1">
        <v>58.508859913072556</v>
      </c>
      <c r="AC45" s="1">
        <v>0</v>
      </c>
      <c r="AD45" t="s">
        <v>28</v>
      </c>
      <c r="AE45" s="1">
        <v>0</v>
      </c>
      <c r="AF45" t="s">
        <v>129</v>
      </c>
      <c r="AG45" t="s">
        <v>3</v>
      </c>
      <c r="AH45">
        <v>2</v>
      </c>
      <c r="AI45">
        <v>3</v>
      </c>
      <c r="AJ45" t="s">
        <v>3</v>
      </c>
      <c r="AK45" t="s">
        <v>18</v>
      </c>
      <c r="AL45">
        <v>0</v>
      </c>
      <c r="AM45" t="s">
        <v>0</v>
      </c>
      <c r="AN45" t="s">
        <v>1</v>
      </c>
      <c r="AO45" s="1">
        <v>33.1</v>
      </c>
      <c r="AP45" s="1">
        <v>17.7</v>
      </c>
      <c r="AQ45">
        <v>23.7</v>
      </c>
      <c r="AR45">
        <v>58.5</v>
      </c>
      <c r="AS45" t="s">
        <v>0</v>
      </c>
    </row>
    <row r="46" spans="1:45" x14ac:dyDescent="0.35">
      <c r="A46" t="s">
        <v>294</v>
      </c>
      <c r="B46" t="s">
        <v>293</v>
      </c>
      <c r="C46" t="s">
        <v>279</v>
      </c>
      <c r="D46" t="s">
        <v>284</v>
      </c>
      <c r="E46" t="s">
        <v>24</v>
      </c>
      <c r="F46" t="s">
        <v>287</v>
      </c>
      <c r="G46">
        <v>5</v>
      </c>
      <c r="H46">
        <v>120</v>
      </c>
      <c r="I46" t="s">
        <v>22</v>
      </c>
      <c r="J46" t="s">
        <v>10</v>
      </c>
      <c r="K46" t="s">
        <v>21</v>
      </c>
      <c r="L46" t="s">
        <v>3</v>
      </c>
      <c r="M46" t="s">
        <v>3</v>
      </c>
      <c r="N46" t="s">
        <v>20</v>
      </c>
      <c r="O46" t="s">
        <v>0</v>
      </c>
      <c r="P46" t="s">
        <v>72</v>
      </c>
      <c r="Q46">
        <v>70868</v>
      </c>
      <c r="R46" s="1">
        <v>-13.4</v>
      </c>
      <c r="S46">
        <v>1</v>
      </c>
      <c r="T46">
        <v>11.6</v>
      </c>
      <c r="U46" t="s">
        <v>3</v>
      </c>
      <c r="V46" t="s">
        <v>3</v>
      </c>
      <c r="W46">
        <v>109</v>
      </c>
      <c r="X46">
        <v>9</v>
      </c>
      <c r="Y46" t="s">
        <v>3</v>
      </c>
      <c r="Z46">
        <v>29.85</v>
      </c>
      <c r="AA46">
        <v>16.079999999999998</v>
      </c>
      <c r="AB46" s="1">
        <v>46.13065326633167</v>
      </c>
      <c r="AC46" s="1">
        <v>0</v>
      </c>
      <c r="AD46" t="s">
        <v>28</v>
      </c>
      <c r="AE46" s="1">
        <v>0</v>
      </c>
      <c r="AF46" t="s">
        <v>7</v>
      </c>
      <c r="AG46" t="s">
        <v>0</v>
      </c>
      <c r="AH46">
        <v>4</v>
      </c>
      <c r="AI46">
        <v>1</v>
      </c>
      <c r="AJ46" t="s">
        <v>3</v>
      </c>
      <c r="AK46" t="s">
        <v>18</v>
      </c>
      <c r="AL46">
        <v>0</v>
      </c>
      <c r="AM46" t="s">
        <v>3</v>
      </c>
      <c r="AN46" t="s">
        <v>1</v>
      </c>
      <c r="AO46" s="1">
        <v>31.4</v>
      </c>
      <c r="AP46" s="1">
        <v>22.1</v>
      </c>
      <c r="AQ46">
        <v>46</v>
      </c>
      <c r="AR46">
        <v>60.5</v>
      </c>
      <c r="AS46" t="s">
        <v>0</v>
      </c>
    </row>
    <row r="47" spans="1:45" x14ac:dyDescent="0.35">
      <c r="A47" t="s">
        <v>292</v>
      </c>
      <c r="B47" t="s">
        <v>291</v>
      </c>
      <c r="C47" t="s">
        <v>279</v>
      </c>
      <c r="D47" t="s">
        <v>284</v>
      </c>
      <c r="E47" t="s">
        <v>24</v>
      </c>
      <c r="F47" t="s">
        <v>220</v>
      </c>
      <c r="G47">
        <v>23</v>
      </c>
      <c r="H47">
        <v>105</v>
      </c>
      <c r="I47" t="s">
        <v>22</v>
      </c>
      <c r="J47" t="s">
        <v>29</v>
      </c>
      <c r="K47" t="s">
        <v>21</v>
      </c>
      <c r="L47" t="s">
        <v>0</v>
      </c>
      <c r="M47" t="s">
        <v>0</v>
      </c>
      <c r="N47" t="s">
        <v>8</v>
      </c>
      <c r="O47" t="s">
        <v>0</v>
      </c>
      <c r="P47" t="s">
        <v>42</v>
      </c>
      <c r="Q47">
        <v>28239</v>
      </c>
      <c r="R47" s="1">
        <v>13.6</v>
      </c>
      <c r="S47">
        <v>3</v>
      </c>
      <c r="T47">
        <v>9.3000000000000007</v>
      </c>
      <c r="U47" t="s">
        <v>3</v>
      </c>
      <c r="V47" t="s">
        <v>3</v>
      </c>
      <c r="W47">
        <v>207</v>
      </c>
      <c r="X47">
        <v>8</v>
      </c>
      <c r="Y47" t="s">
        <v>0</v>
      </c>
      <c r="Z47">
        <v>37.380000000000003</v>
      </c>
      <c r="AA47">
        <v>17.43</v>
      </c>
      <c r="AB47" s="1">
        <v>53.37078651685394</v>
      </c>
      <c r="AC47" s="1">
        <v>571313</v>
      </c>
      <c r="AD47" t="s">
        <v>49</v>
      </c>
      <c r="AE47" s="1">
        <v>0.54123452967031715</v>
      </c>
      <c r="AF47" t="s">
        <v>129</v>
      </c>
      <c r="AG47" t="s">
        <v>0</v>
      </c>
      <c r="AH47">
        <v>1</v>
      </c>
      <c r="AI47">
        <v>1</v>
      </c>
      <c r="AJ47" t="s">
        <v>3</v>
      </c>
      <c r="AK47" t="s">
        <v>18</v>
      </c>
      <c r="AL47">
        <v>0</v>
      </c>
      <c r="AM47" t="s">
        <v>3</v>
      </c>
      <c r="AN47" t="s">
        <v>1</v>
      </c>
      <c r="AO47" s="1">
        <v>13.7</v>
      </c>
      <c r="AP47" s="1">
        <v>53.1</v>
      </c>
      <c r="AQ47">
        <v>31.4</v>
      </c>
      <c r="AR47">
        <v>54.5</v>
      </c>
      <c r="AS47" t="s">
        <v>0</v>
      </c>
    </row>
    <row r="48" spans="1:45" x14ac:dyDescent="0.35">
      <c r="A48" t="s">
        <v>290</v>
      </c>
      <c r="B48" t="s">
        <v>289</v>
      </c>
      <c r="C48" t="s">
        <v>279</v>
      </c>
      <c r="D48" t="s">
        <v>288</v>
      </c>
      <c r="E48" t="s">
        <v>38</v>
      </c>
      <c r="F48" t="s">
        <v>287</v>
      </c>
      <c r="G48">
        <v>14</v>
      </c>
      <c r="H48">
        <v>98</v>
      </c>
      <c r="I48" t="s">
        <v>22</v>
      </c>
      <c r="J48" t="s">
        <v>51</v>
      </c>
      <c r="K48" t="s">
        <v>21</v>
      </c>
      <c r="L48" t="s">
        <v>3</v>
      </c>
      <c r="M48" t="s">
        <v>3</v>
      </c>
      <c r="N48" t="s">
        <v>8</v>
      </c>
      <c r="O48" t="s">
        <v>3</v>
      </c>
      <c r="P48" t="s">
        <v>50</v>
      </c>
      <c r="Q48">
        <v>76917</v>
      </c>
      <c r="R48" s="1">
        <v>25.4</v>
      </c>
      <c r="S48">
        <v>3</v>
      </c>
      <c r="T48">
        <v>9.8000000000000007</v>
      </c>
      <c r="U48" t="s">
        <v>3</v>
      </c>
      <c r="V48" t="s">
        <v>0</v>
      </c>
      <c r="W48">
        <v>50</v>
      </c>
      <c r="X48">
        <v>12</v>
      </c>
      <c r="Y48" t="s">
        <v>3</v>
      </c>
      <c r="Z48">
        <v>34.81</v>
      </c>
      <c r="AA48">
        <v>24.02</v>
      </c>
      <c r="AB48" s="1">
        <v>30.996839988509056</v>
      </c>
      <c r="AC48" s="1">
        <v>737177</v>
      </c>
      <c r="AD48" t="s">
        <v>49</v>
      </c>
      <c r="AE48" s="1">
        <v>0.27532485322014094</v>
      </c>
      <c r="AF48" t="s">
        <v>143</v>
      </c>
      <c r="AG48" t="s">
        <v>3</v>
      </c>
      <c r="AH48">
        <v>3</v>
      </c>
      <c r="AI48">
        <v>3</v>
      </c>
      <c r="AJ48" t="s">
        <v>3</v>
      </c>
      <c r="AK48" t="s">
        <v>2</v>
      </c>
      <c r="AL48">
        <v>22</v>
      </c>
      <c r="AM48" t="s">
        <v>0</v>
      </c>
      <c r="AN48" t="s">
        <v>1</v>
      </c>
      <c r="AO48" s="1">
        <v>87.7</v>
      </c>
      <c r="AP48" s="1">
        <v>10.6</v>
      </c>
      <c r="AQ48">
        <v>30.6</v>
      </c>
      <c r="AR48">
        <v>46.4</v>
      </c>
      <c r="AS48" t="s">
        <v>0</v>
      </c>
    </row>
    <row r="49" spans="1:45" x14ac:dyDescent="0.35">
      <c r="A49" t="s">
        <v>286</v>
      </c>
      <c r="B49" t="s">
        <v>285</v>
      </c>
      <c r="C49" t="s">
        <v>279</v>
      </c>
      <c r="D49" t="s">
        <v>284</v>
      </c>
      <c r="E49" t="s">
        <v>38</v>
      </c>
      <c r="F49" t="s">
        <v>123</v>
      </c>
      <c r="G49">
        <v>23</v>
      </c>
      <c r="H49">
        <v>38</v>
      </c>
      <c r="I49" t="s">
        <v>11</v>
      </c>
      <c r="J49" t="s">
        <v>29</v>
      </c>
      <c r="K49" t="s">
        <v>21</v>
      </c>
      <c r="L49" t="s">
        <v>3</v>
      </c>
      <c r="M49" t="s">
        <v>3</v>
      </c>
      <c r="N49" t="s">
        <v>34</v>
      </c>
      <c r="O49" t="s">
        <v>3</v>
      </c>
      <c r="P49" t="s">
        <v>6</v>
      </c>
      <c r="Q49">
        <v>377680</v>
      </c>
      <c r="R49" s="1">
        <v>20.5</v>
      </c>
      <c r="S49">
        <v>2</v>
      </c>
      <c r="T49">
        <v>7.6</v>
      </c>
      <c r="U49" t="s">
        <v>3</v>
      </c>
      <c r="V49" t="s">
        <v>0</v>
      </c>
      <c r="W49">
        <v>223</v>
      </c>
      <c r="X49">
        <v>11</v>
      </c>
      <c r="Y49" t="s">
        <v>3</v>
      </c>
      <c r="Z49">
        <v>21.63</v>
      </c>
      <c r="AA49">
        <v>8.4</v>
      </c>
      <c r="AB49" s="1">
        <v>61.165048543689316</v>
      </c>
      <c r="AC49" s="1">
        <v>0</v>
      </c>
      <c r="AD49" t="s">
        <v>28</v>
      </c>
      <c r="AE49" s="1">
        <v>0</v>
      </c>
      <c r="AF49" t="s">
        <v>7</v>
      </c>
      <c r="AG49" t="s">
        <v>0</v>
      </c>
      <c r="AH49">
        <v>0</v>
      </c>
      <c r="AI49">
        <v>2</v>
      </c>
      <c r="AJ49" t="s">
        <v>3</v>
      </c>
      <c r="AK49" t="s">
        <v>54</v>
      </c>
      <c r="AL49">
        <v>5</v>
      </c>
      <c r="AM49" t="s">
        <v>3</v>
      </c>
      <c r="AN49" t="s">
        <v>1</v>
      </c>
      <c r="AO49" s="1">
        <v>30.2</v>
      </c>
      <c r="AP49" s="1">
        <v>60.6</v>
      </c>
      <c r="AQ49">
        <v>5.5</v>
      </c>
      <c r="AR49">
        <v>79.2</v>
      </c>
      <c r="AS49" t="s">
        <v>0</v>
      </c>
    </row>
    <row r="50" spans="1:45" x14ac:dyDescent="0.35">
      <c r="A50" t="s">
        <v>283</v>
      </c>
      <c r="B50" t="s">
        <v>180</v>
      </c>
      <c r="C50" t="s">
        <v>279</v>
      </c>
      <c r="D50" t="s">
        <v>278</v>
      </c>
      <c r="E50" t="s">
        <v>38</v>
      </c>
      <c r="F50" t="s">
        <v>282</v>
      </c>
      <c r="G50">
        <v>21</v>
      </c>
      <c r="H50">
        <v>52</v>
      </c>
      <c r="I50" t="s">
        <v>22</v>
      </c>
      <c r="J50" t="s">
        <v>61</v>
      </c>
      <c r="K50" t="s">
        <v>21</v>
      </c>
      <c r="L50" t="s">
        <v>0</v>
      </c>
      <c r="M50" t="s">
        <v>3</v>
      </c>
      <c r="N50" t="s">
        <v>34</v>
      </c>
      <c r="O50" t="s">
        <v>0</v>
      </c>
      <c r="P50" t="s">
        <v>60</v>
      </c>
      <c r="Q50">
        <v>194886</v>
      </c>
      <c r="R50" s="1">
        <v>37.4</v>
      </c>
      <c r="S50">
        <v>4</v>
      </c>
      <c r="T50">
        <v>7.3</v>
      </c>
      <c r="U50" t="s">
        <v>3</v>
      </c>
      <c r="V50" t="s">
        <v>3</v>
      </c>
      <c r="W50">
        <v>217</v>
      </c>
      <c r="X50">
        <v>11</v>
      </c>
      <c r="Y50" t="s">
        <v>0</v>
      </c>
      <c r="Z50">
        <v>35.54</v>
      </c>
      <c r="AA50">
        <v>23.84</v>
      </c>
      <c r="AB50" s="1">
        <v>32.920652785593695</v>
      </c>
      <c r="AC50" s="1">
        <v>0</v>
      </c>
      <c r="AD50" t="s">
        <v>28</v>
      </c>
      <c r="AE50" s="1">
        <v>0</v>
      </c>
      <c r="AF50" t="s">
        <v>129</v>
      </c>
      <c r="AG50" t="s">
        <v>0</v>
      </c>
      <c r="AH50">
        <v>4</v>
      </c>
      <c r="AI50">
        <v>0</v>
      </c>
      <c r="AJ50" t="s">
        <v>3</v>
      </c>
      <c r="AK50" t="s">
        <v>18</v>
      </c>
      <c r="AL50">
        <v>0</v>
      </c>
      <c r="AM50" t="s">
        <v>0</v>
      </c>
      <c r="AN50" t="s">
        <v>32</v>
      </c>
      <c r="AO50" s="1">
        <v>91.7</v>
      </c>
      <c r="AP50" s="1">
        <v>17.899999999999999</v>
      </c>
      <c r="AQ50">
        <v>42.3</v>
      </c>
      <c r="AR50">
        <v>94.2</v>
      </c>
      <c r="AS50" t="s">
        <v>3</v>
      </c>
    </row>
    <row r="51" spans="1:45" x14ac:dyDescent="0.35">
      <c r="A51" t="s">
        <v>281</v>
      </c>
      <c r="B51" t="s">
        <v>280</v>
      </c>
      <c r="C51" t="s">
        <v>279</v>
      </c>
      <c r="D51" t="s">
        <v>278</v>
      </c>
      <c r="E51" t="s">
        <v>38</v>
      </c>
      <c r="F51" t="s">
        <v>123</v>
      </c>
      <c r="G51">
        <v>26</v>
      </c>
      <c r="H51">
        <v>22</v>
      </c>
      <c r="I51" t="s">
        <v>22</v>
      </c>
      <c r="J51" t="s">
        <v>35</v>
      </c>
      <c r="K51" t="s">
        <v>21</v>
      </c>
      <c r="L51" t="s">
        <v>3</v>
      </c>
      <c r="M51" t="s">
        <v>3</v>
      </c>
      <c r="N51" t="s">
        <v>34</v>
      </c>
      <c r="O51" t="s">
        <v>3</v>
      </c>
      <c r="P51" t="s">
        <v>72</v>
      </c>
      <c r="Q51">
        <v>297802</v>
      </c>
      <c r="S51">
        <v>1</v>
      </c>
      <c r="T51">
        <v>13.4</v>
      </c>
      <c r="U51" t="s">
        <v>3</v>
      </c>
      <c r="V51" t="s">
        <v>3</v>
      </c>
      <c r="W51">
        <v>16</v>
      </c>
      <c r="X51">
        <v>9</v>
      </c>
      <c r="Y51" t="s">
        <v>3</v>
      </c>
      <c r="Z51">
        <v>6.12</v>
      </c>
      <c r="AA51">
        <v>2.68</v>
      </c>
      <c r="AB51" s="1">
        <v>56.209150326797385</v>
      </c>
      <c r="AC51" s="1">
        <v>338958</v>
      </c>
      <c r="AD51" t="s">
        <v>65</v>
      </c>
      <c r="AE51" s="1">
        <v>0.18598026244836185</v>
      </c>
      <c r="AF51" t="s">
        <v>143</v>
      </c>
      <c r="AG51" t="s">
        <v>0</v>
      </c>
      <c r="AH51">
        <v>0</v>
      </c>
      <c r="AI51">
        <v>3</v>
      </c>
      <c r="AJ51" t="s">
        <v>3</v>
      </c>
      <c r="AK51" t="s">
        <v>2</v>
      </c>
      <c r="AL51">
        <v>12</v>
      </c>
      <c r="AM51" t="s">
        <v>0</v>
      </c>
      <c r="AN51" t="s">
        <v>1</v>
      </c>
      <c r="AO51" s="1">
        <v>37.4</v>
      </c>
      <c r="AP51" s="1">
        <v>72.400000000000006</v>
      </c>
      <c r="AQ51">
        <v>25.2</v>
      </c>
      <c r="AR51">
        <v>95</v>
      </c>
      <c r="AS51" t="s">
        <v>0</v>
      </c>
    </row>
    <row r="52" spans="1:45" x14ac:dyDescent="0.35">
      <c r="A52" t="s">
        <v>277</v>
      </c>
      <c r="B52" t="s">
        <v>276</v>
      </c>
      <c r="C52" t="s">
        <v>240</v>
      </c>
      <c r="D52" t="s">
        <v>250</v>
      </c>
      <c r="E52" t="s">
        <v>13</v>
      </c>
      <c r="F52" t="s">
        <v>12</v>
      </c>
      <c r="G52">
        <v>25</v>
      </c>
      <c r="H52">
        <v>6</v>
      </c>
      <c r="I52" t="s">
        <v>22</v>
      </c>
      <c r="J52" t="s">
        <v>51</v>
      </c>
      <c r="K52" t="s">
        <v>9</v>
      </c>
      <c r="L52" t="s">
        <v>3</v>
      </c>
      <c r="M52" t="s">
        <v>3</v>
      </c>
      <c r="N52" t="s">
        <v>34</v>
      </c>
      <c r="O52" t="s">
        <v>0</v>
      </c>
      <c r="P52" t="s">
        <v>50</v>
      </c>
      <c r="Q52">
        <v>114253</v>
      </c>
      <c r="S52">
        <v>5</v>
      </c>
      <c r="T52">
        <v>24.5</v>
      </c>
      <c r="U52" t="s">
        <v>3</v>
      </c>
      <c r="V52" t="s">
        <v>0</v>
      </c>
      <c r="W52">
        <v>84</v>
      </c>
      <c r="X52">
        <v>3</v>
      </c>
      <c r="Y52" t="s">
        <v>3</v>
      </c>
      <c r="Z52">
        <v>40.130000000000003</v>
      </c>
      <c r="AA52">
        <v>26.33</v>
      </c>
      <c r="AB52" s="1">
        <v>34.388238225766266</v>
      </c>
      <c r="AC52" s="1">
        <v>528158</v>
      </c>
      <c r="AD52" t="s">
        <v>49</v>
      </c>
      <c r="AE52" s="1">
        <v>0.1151932656247396</v>
      </c>
      <c r="AF52" t="s">
        <v>134</v>
      </c>
      <c r="AG52" t="s">
        <v>3</v>
      </c>
      <c r="AH52">
        <v>4</v>
      </c>
      <c r="AI52">
        <v>0</v>
      </c>
      <c r="AJ52" t="s">
        <v>3</v>
      </c>
      <c r="AK52" t="s">
        <v>54</v>
      </c>
      <c r="AL52">
        <v>2</v>
      </c>
      <c r="AM52" t="s">
        <v>3</v>
      </c>
      <c r="AN52" t="s">
        <v>1</v>
      </c>
      <c r="AO52" s="1">
        <v>23.4</v>
      </c>
      <c r="AP52" s="1">
        <v>25.2</v>
      </c>
      <c r="AQ52">
        <v>43.9</v>
      </c>
      <c r="AR52">
        <v>43.4</v>
      </c>
      <c r="AS52" t="s">
        <v>0</v>
      </c>
    </row>
    <row r="53" spans="1:45" x14ac:dyDescent="0.35">
      <c r="A53" t="s">
        <v>275</v>
      </c>
      <c r="B53" t="s">
        <v>172</v>
      </c>
      <c r="C53" t="s">
        <v>240</v>
      </c>
      <c r="D53" t="s">
        <v>250</v>
      </c>
      <c r="E53" t="s">
        <v>38</v>
      </c>
      <c r="F53" t="s">
        <v>220</v>
      </c>
      <c r="G53">
        <v>2</v>
      </c>
      <c r="H53">
        <v>40</v>
      </c>
      <c r="I53" t="s">
        <v>22</v>
      </c>
      <c r="J53" t="s">
        <v>51</v>
      </c>
      <c r="K53" t="s">
        <v>9</v>
      </c>
      <c r="L53" t="s">
        <v>0</v>
      </c>
      <c r="M53" t="s">
        <v>3</v>
      </c>
      <c r="N53" t="s">
        <v>34</v>
      </c>
      <c r="O53" t="s">
        <v>3</v>
      </c>
      <c r="P53" t="s">
        <v>72</v>
      </c>
      <c r="Q53">
        <v>84962</v>
      </c>
      <c r="R53" s="1">
        <v>-17.2</v>
      </c>
      <c r="S53">
        <v>3</v>
      </c>
      <c r="T53">
        <v>38.5</v>
      </c>
      <c r="U53" t="s">
        <v>0</v>
      </c>
      <c r="V53" t="s">
        <v>0</v>
      </c>
      <c r="W53">
        <v>273</v>
      </c>
      <c r="X53">
        <v>3</v>
      </c>
      <c r="Y53" t="s">
        <v>0</v>
      </c>
      <c r="Z53">
        <v>21.92</v>
      </c>
      <c r="AA53">
        <v>10.3</v>
      </c>
      <c r="AB53" s="1">
        <v>53.010948905109487</v>
      </c>
      <c r="AC53" s="1">
        <v>430343</v>
      </c>
      <c r="AD53" t="s">
        <v>49</v>
      </c>
      <c r="AE53" s="1">
        <v>0.2310731401260194</v>
      </c>
      <c r="AF53" t="s">
        <v>7</v>
      </c>
      <c r="AG53" t="s">
        <v>0</v>
      </c>
      <c r="AH53">
        <v>3</v>
      </c>
      <c r="AI53">
        <v>0</v>
      </c>
      <c r="AJ53" t="s">
        <v>3</v>
      </c>
      <c r="AK53" t="s">
        <v>18</v>
      </c>
      <c r="AL53">
        <v>0</v>
      </c>
      <c r="AM53" t="s">
        <v>3</v>
      </c>
      <c r="AN53" t="s">
        <v>48</v>
      </c>
      <c r="AO53" s="1">
        <v>38.799999999999997</v>
      </c>
      <c r="AP53" s="1">
        <v>27.8</v>
      </c>
      <c r="AQ53">
        <v>19.899999999999999</v>
      </c>
      <c r="AR53">
        <v>44.7</v>
      </c>
      <c r="AS53" t="s">
        <v>0</v>
      </c>
    </row>
    <row r="54" spans="1:45" x14ac:dyDescent="0.35">
      <c r="A54" t="s">
        <v>274</v>
      </c>
      <c r="B54" t="s">
        <v>273</v>
      </c>
      <c r="C54" t="s">
        <v>240</v>
      </c>
      <c r="D54" t="s">
        <v>239</v>
      </c>
      <c r="E54" t="s">
        <v>38</v>
      </c>
      <c r="F54" t="s">
        <v>123</v>
      </c>
      <c r="G54">
        <v>16</v>
      </c>
      <c r="H54">
        <v>18</v>
      </c>
      <c r="I54" t="s">
        <v>22</v>
      </c>
      <c r="J54" t="s">
        <v>29</v>
      </c>
      <c r="K54" t="s">
        <v>9</v>
      </c>
      <c r="L54" t="s">
        <v>0</v>
      </c>
      <c r="M54" t="s">
        <v>0</v>
      </c>
      <c r="N54" t="s">
        <v>8</v>
      </c>
      <c r="O54" t="s">
        <v>3</v>
      </c>
      <c r="P54" t="s">
        <v>79</v>
      </c>
      <c r="Q54">
        <v>47762</v>
      </c>
      <c r="R54" s="1">
        <v>36.200000000000003</v>
      </c>
      <c r="S54">
        <v>1</v>
      </c>
      <c r="T54">
        <v>33.700000000000003</v>
      </c>
      <c r="U54" t="s">
        <v>0</v>
      </c>
      <c r="V54" t="s">
        <v>0</v>
      </c>
      <c r="W54">
        <v>129</v>
      </c>
      <c r="X54">
        <v>6</v>
      </c>
      <c r="Y54" t="s">
        <v>0</v>
      </c>
      <c r="Z54">
        <v>13.98</v>
      </c>
      <c r="AA54">
        <v>10.01</v>
      </c>
      <c r="AB54" s="1">
        <v>28.397711015736771</v>
      </c>
      <c r="AC54" s="1">
        <v>620411</v>
      </c>
      <c r="AD54" t="s">
        <v>65</v>
      </c>
      <c r="AE54" s="1">
        <v>0.92915852019961398</v>
      </c>
      <c r="AF54" t="s">
        <v>143</v>
      </c>
      <c r="AG54" t="s">
        <v>0</v>
      </c>
      <c r="AH54">
        <v>2</v>
      </c>
      <c r="AI54">
        <v>3</v>
      </c>
      <c r="AJ54" t="s">
        <v>0</v>
      </c>
      <c r="AK54" t="s">
        <v>54</v>
      </c>
      <c r="AL54">
        <v>3</v>
      </c>
      <c r="AM54" t="s">
        <v>0</v>
      </c>
      <c r="AN54" t="s">
        <v>1</v>
      </c>
      <c r="AO54" s="1">
        <v>91.4</v>
      </c>
      <c r="AP54" s="1">
        <v>35.9</v>
      </c>
      <c r="AQ54">
        <v>23.6</v>
      </c>
      <c r="AR54">
        <v>73.8</v>
      </c>
      <c r="AS54" t="s">
        <v>3</v>
      </c>
    </row>
    <row r="55" spans="1:45" x14ac:dyDescent="0.35">
      <c r="A55" t="s">
        <v>272</v>
      </c>
      <c r="B55" t="s">
        <v>271</v>
      </c>
      <c r="C55" t="s">
        <v>240</v>
      </c>
      <c r="D55" t="s">
        <v>243</v>
      </c>
      <c r="E55" t="s">
        <v>13</v>
      </c>
      <c r="F55" t="s">
        <v>123</v>
      </c>
      <c r="G55">
        <v>9</v>
      </c>
      <c r="H55">
        <v>36</v>
      </c>
      <c r="I55" t="s">
        <v>22</v>
      </c>
      <c r="J55" t="s">
        <v>51</v>
      </c>
      <c r="K55" t="s">
        <v>21</v>
      </c>
      <c r="L55" t="s">
        <v>3</v>
      </c>
      <c r="M55" t="s">
        <v>3</v>
      </c>
      <c r="N55" t="s">
        <v>34</v>
      </c>
      <c r="O55" t="s">
        <v>3</v>
      </c>
      <c r="P55" t="s">
        <v>60</v>
      </c>
      <c r="Q55">
        <v>116045</v>
      </c>
      <c r="R55" s="1">
        <v>27.7</v>
      </c>
      <c r="S55">
        <v>2</v>
      </c>
      <c r="T55">
        <v>18.5</v>
      </c>
      <c r="U55" t="s">
        <v>3</v>
      </c>
      <c r="V55" t="s">
        <v>3</v>
      </c>
      <c r="W55">
        <v>35</v>
      </c>
      <c r="X55">
        <v>5</v>
      </c>
      <c r="Y55" t="s">
        <v>3</v>
      </c>
      <c r="Z55">
        <v>39.020000000000003</v>
      </c>
      <c r="AA55">
        <v>28.41</v>
      </c>
      <c r="AB55" s="1">
        <v>27.191184008200931</v>
      </c>
      <c r="AC55" s="1">
        <v>0</v>
      </c>
      <c r="AD55" t="s">
        <v>28</v>
      </c>
      <c r="AE55" s="1">
        <v>0</v>
      </c>
      <c r="AF55" t="s">
        <v>4</v>
      </c>
      <c r="AG55" t="s">
        <v>0</v>
      </c>
      <c r="AH55">
        <v>1</v>
      </c>
      <c r="AI55">
        <v>0</v>
      </c>
      <c r="AJ55" t="s">
        <v>3</v>
      </c>
      <c r="AK55" t="s">
        <v>2</v>
      </c>
      <c r="AL55">
        <v>8</v>
      </c>
      <c r="AM55" t="s">
        <v>7</v>
      </c>
      <c r="AN55" t="s">
        <v>32</v>
      </c>
      <c r="AO55" s="1">
        <v>61.8</v>
      </c>
      <c r="AP55" s="1">
        <v>56.7</v>
      </c>
      <c r="AQ55">
        <v>32.700000000000003</v>
      </c>
      <c r="AR55">
        <v>69</v>
      </c>
      <c r="AS55" t="s">
        <v>0</v>
      </c>
    </row>
    <row r="56" spans="1:45" x14ac:dyDescent="0.35">
      <c r="A56" t="s">
        <v>270</v>
      </c>
      <c r="B56" t="s">
        <v>136</v>
      </c>
      <c r="C56" t="s">
        <v>240</v>
      </c>
      <c r="D56" t="s">
        <v>239</v>
      </c>
      <c r="E56" t="s">
        <v>24</v>
      </c>
      <c r="F56" t="s">
        <v>123</v>
      </c>
      <c r="G56">
        <v>4</v>
      </c>
      <c r="H56">
        <v>11</v>
      </c>
      <c r="I56" t="s">
        <v>22</v>
      </c>
      <c r="J56" t="s">
        <v>35</v>
      </c>
      <c r="K56" t="s">
        <v>21</v>
      </c>
      <c r="L56" t="s">
        <v>3</v>
      </c>
      <c r="M56" t="s">
        <v>0</v>
      </c>
      <c r="N56" t="s">
        <v>8</v>
      </c>
      <c r="O56" t="s">
        <v>0</v>
      </c>
      <c r="P56" t="s">
        <v>60</v>
      </c>
      <c r="Q56">
        <v>101235</v>
      </c>
      <c r="R56" s="1">
        <v>11.6</v>
      </c>
      <c r="S56">
        <v>3</v>
      </c>
      <c r="T56">
        <v>21.7</v>
      </c>
      <c r="U56" t="s">
        <v>3</v>
      </c>
      <c r="V56" t="s">
        <v>3</v>
      </c>
      <c r="W56">
        <v>212</v>
      </c>
      <c r="X56">
        <v>4</v>
      </c>
      <c r="Y56" t="s">
        <v>0</v>
      </c>
      <c r="Z56">
        <v>44.62</v>
      </c>
      <c r="AA56">
        <v>19.649999999999999</v>
      </c>
      <c r="AB56" s="1">
        <v>55.96145226355894</v>
      </c>
      <c r="AC56" s="1">
        <v>0</v>
      </c>
      <c r="AD56" t="s">
        <v>28</v>
      </c>
      <c r="AE56" s="1">
        <v>0</v>
      </c>
      <c r="AF56" t="s">
        <v>4</v>
      </c>
      <c r="AG56" t="s">
        <v>0</v>
      </c>
      <c r="AH56">
        <v>0</v>
      </c>
      <c r="AI56">
        <v>0</v>
      </c>
      <c r="AJ56" t="s">
        <v>3</v>
      </c>
      <c r="AK56" t="s">
        <v>54</v>
      </c>
      <c r="AL56">
        <v>8</v>
      </c>
      <c r="AM56" t="s">
        <v>0</v>
      </c>
      <c r="AN56" t="s">
        <v>32</v>
      </c>
      <c r="AO56" s="1">
        <v>70.3</v>
      </c>
      <c r="AP56" s="1">
        <v>15.8</v>
      </c>
      <c r="AQ56">
        <v>43</v>
      </c>
      <c r="AR56">
        <v>78.7</v>
      </c>
      <c r="AS56" t="s">
        <v>3</v>
      </c>
    </row>
    <row r="57" spans="1:45" x14ac:dyDescent="0.35">
      <c r="A57" t="s">
        <v>269</v>
      </c>
      <c r="B57" t="s">
        <v>168</v>
      </c>
      <c r="C57" t="s">
        <v>240</v>
      </c>
      <c r="D57" t="s">
        <v>268</v>
      </c>
      <c r="E57" t="s">
        <v>38</v>
      </c>
      <c r="F57" t="s">
        <v>253</v>
      </c>
      <c r="G57">
        <v>6</v>
      </c>
      <c r="H57">
        <v>25</v>
      </c>
      <c r="I57" t="s">
        <v>11</v>
      </c>
      <c r="J57" t="s">
        <v>35</v>
      </c>
      <c r="K57" t="s">
        <v>21</v>
      </c>
      <c r="L57" t="s">
        <v>3</v>
      </c>
      <c r="M57" t="s">
        <v>0</v>
      </c>
      <c r="N57" t="s">
        <v>34</v>
      </c>
      <c r="O57" t="s">
        <v>0</v>
      </c>
      <c r="P57" t="s">
        <v>72</v>
      </c>
      <c r="Q57">
        <v>38899</v>
      </c>
      <c r="R57" s="1">
        <v>25.1</v>
      </c>
      <c r="S57">
        <v>4</v>
      </c>
      <c r="T57">
        <v>38.200000000000003</v>
      </c>
      <c r="U57" t="s">
        <v>3</v>
      </c>
      <c r="V57" t="s">
        <v>0</v>
      </c>
      <c r="W57">
        <v>204</v>
      </c>
      <c r="X57">
        <v>6</v>
      </c>
      <c r="Y57" t="s">
        <v>0</v>
      </c>
      <c r="Z57">
        <v>18.940000000000001</v>
      </c>
      <c r="AA57">
        <v>12.35</v>
      </c>
      <c r="AB57" s="1">
        <v>34.794086589229153</v>
      </c>
      <c r="AC57" s="1">
        <v>790782</v>
      </c>
      <c r="AD57" t="s">
        <v>65</v>
      </c>
      <c r="AE57" s="1">
        <v>1.073342593318255</v>
      </c>
      <c r="AF57" t="s">
        <v>4</v>
      </c>
      <c r="AG57" t="s">
        <v>0</v>
      </c>
      <c r="AH57">
        <v>0</v>
      </c>
      <c r="AI57">
        <v>3</v>
      </c>
      <c r="AJ57" t="s">
        <v>3</v>
      </c>
      <c r="AK57" t="s">
        <v>2</v>
      </c>
      <c r="AL57">
        <v>21</v>
      </c>
      <c r="AM57" t="s">
        <v>7</v>
      </c>
      <c r="AN57" t="s">
        <v>1</v>
      </c>
      <c r="AO57" s="1">
        <v>96.9</v>
      </c>
      <c r="AP57" s="1">
        <v>32.799999999999997</v>
      </c>
      <c r="AQ57">
        <v>33.5</v>
      </c>
      <c r="AR57">
        <v>87</v>
      </c>
      <c r="AS57" t="s">
        <v>0</v>
      </c>
    </row>
    <row r="58" spans="1:45" x14ac:dyDescent="0.35">
      <c r="A58" t="s">
        <v>267</v>
      </c>
      <c r="B58" t="s">
        <v>26</v>
      </c>
      <c r="C58" t="s">
        <v>240</v>
      </c>
      <c r="D58" t="s">
        <v>243</v>
      </c>
      <c r="E58" t="s">
        <v>13</v>
      </c>
      <c r="F58" t="s">
        <v>253</v>
      </c>
      <c r="G58">
        <v>23</v>
      </c>
      <c r="H58">
        <v>9</v>
      </c>
      <c r="I58" t="s">
        <v>11</v>
      </c>
      <c r="J58" t="s">
        <v>29</v>
      </c>
      <c r="K58" t="s">
        <v>9</v>
      </c>
      <c r="L58" t="s">
        <v>0</v>
      </c>
      <c r="M58" t="s">
        <v>3</v>
      </c>
      <c r="N58" t="s">
        <v>8</v>
      </c>
      <c r="O58" t="s">
        <v>0</v>
      </c>
      <c r="P58" t="s">
        <v>60</v>
      </c>
      <c r="Q58">
        <v>69807</v>
      </c>
      <c r="S58">
        <v>2</v>
      </c>
      <c r="T58">
        <v>33.5</v>
      </c>
      <c r="U58" t="s">
        <v>3</v>
      </c>
      <c r="V58" t="s">
        <v>3</v>
      </c>
      <c r="W58">
        <v>7</v>
      </c>
      <c r="X58">
        <v>3</v>
      </c>
      <c r="Y58" t="s">
        <v>3</v>
      </c>
      <c r="Z58">
        <v>35.69</v>
      </c>
      <c r="AA58">
        <v>13.95</v>
      </c>
      <c r="AB58" s="1">
        <v>60.913421126365932</v>
      </c>
      <c r="AC58" s="1">
        <v>344784</v>
      </c>
      <c r="AD58" t="s">
        <v>65</v>
      </c>
      <c r="AE58" s="1">
        <v>0.13838900331463869</v>
      </c>
      <c r="AF58" t="s">
        <v>129</v>
      </c>
      <c r="AG58" t="s">
        <v>3</v>
      </c>
      <c r="AH58">
        <v>2</v>
      </c>
      <c r="AI58">
        <v>0</v>
      </c>
      <c r="AJ58" t="s">
        <v>3</v>
      </c>
      <c r="AK58" t="s">
        <v>18</v>
      </c>
      <c r="AL58">
        <v>0</v>
      </c>
      <c r="AM58" t="s">
        <v>3</v>
      </c>
      <c r="AN58" t="s">
        <v>1</v>
      </c>
      <c r="AO58" s="1">
        <v>1.2</v>
      </c>
      <c r="AP58" s="1">
        <v>39</v>
      </c>
      <c r="AQ58">
        <v>40.1</v>
      </c>
      <c r="AR58">
        <v>83.5</v>
      </c>
      <c r="AS58" t="s">
        <v>0</v>
      </c>
    </row>
    <row r="59" spans="1:45" x14ac:dyDescent="0.35">
      <c r="A59" t="s">
        <v>266</v>
      </c>
      <c r="B59" t="s">
        <v>265</v>
      </c>
      <c r="C59" t="s">
        <v>240</v>
      </c>
      <c r="D59" t="s">
        <v>243</v>
      </c>
      <c r="E59" t="s">
        <v>13</v>
      </c>
      <c r="F59" t="s">
        <v>220</v>
      </c>
      <c r="G59">
        <v>14</v>
      </c>
      <c r="H59">
        <v>24</v>
      </c>
      <c r="I59" t="s">
        <v>22</v>
      </c>
      <c r="J59" t="s">
        <v>10</v>
      </c>
      <c r="K59" t="s">
        <v>21</v>
      </c>
      <c r="L59" t="s">
        <v>3</v>
      </c>
      <c r="M59" t="s">
        <v>3</v>
      </c>
      <c r="N59" t="s">
        <v>34</v>
      </c>
      <c r="O59" t="s">
        <v>7</v>
      </c>
      <c r="P59" t="s">
        <v>6</v>
      </c>
      <c r="Q59">
        <v>52990</v>
      </c>
      <c r="R59" s="1">
        <v>36.700000000000003</v>
      </c>
      <c r="S59">
        <v>4</v>
      </c>
      <c r="T59">
        <v>29.8</v>
      </c>
      <c r="U59" t="s">
        <v>3</v>
      </c>
      <c r="V59" t="s">
        <v>3</v>
      </c>
      <c r="W59">
        <v>248</v>
      </c>
      <c r="X59">
        <v>1</v>
      </c>
      <c r="Y59" t="s">
        <v>0</v>
      </c>
      <c r="Z59">
        <v>18.96</v>
      </c>
      <c r="AA59">
        <v>11.34</v>
      </c>
      <c r="AB59" s="1">
        <v>40.189873417721522</v>
      </c>
      <c r="AC59" s="1">
        <v>0</v>
      </c>
      <c r="AD59" t="s">
        <v>28</v>
      </c>
      <c r="AE59" s="1">
        <v>0</v>
      </c>
      <c r="AF59" t="s">
        <v>4</v>
      </c>
      <c r="AG59" t="s">
        <v>3</v>
      </c>
      <c r="AH59">
        <v>4</v>
      </c>
      <c r="AI59">
        <v>1</v>
      </c>
      <c r="AJ59" t="s">
        <v>3</v>
      </c>
      <c r="AK59" t="s">
        <v>2</v>
      </c>
      <c r="AL59">
        <v>13</v>
      </c>
      <c r="AM59" t="s">
        <v>0</v>
      </c>
      <c r="AN59" t="s">
        <v>1</v>
      </c>
      <c r="AO59" s="1">
        <v>31.4</v>
      </c>
      <c r="AP59" s="1">
        <v>77.5</v>
      </c>
      <c r="AQ59">
        <v>48.6</v>
      </c>
      <c r="AR59">
        <v>57.5</v>
      </c>
      <c r="AS59" t="s">
        <v>0</v>
      </c>
    </row>
    <row r="60" spans="1:45" x14ac:dyDescent="0.35">
      <c r="A60" t="s">
        <v>264</v>
      </c>
      <c r="B60" t="s">
        <v>263</v>
      </c>
      <c r="C60" t="s">
        <v>240</v>
      </c>
      <c r="D60" t="s">
        <v>243</v>
      </c>
      <c r="E60" t="s">
        <v>38</v>
      </c>
      <c r="F60" t="s">
        <v>123</v>
      </c>
      <c r="G60">
        <v>22</v>
      </c>
      <c r="H60">
        <v>40</v>
      </c>
      <c r="I60" t="s">
        <v>11</v>
      </c>
      <c r="J60" t="s">
        <v>51</v>
      </c>
      <c r="K60" t="s">
        <v>21</v>
      </c>
      <c r="L60" t="s">
        <v>0</v>
      </c>
      <c r="M60" t="s">
        <v>3</v>
      </c>
      <c r="N60" t="s">
        <v>8</v>
      </c>
      <c r="O60" t="s">
        <v>0</v>
      </c>
      <c r="P60" t="s">
        <v>50</v>
      </c>
      <c r="Q60">
        <v>47479</v>
      </c>
      <c r="R60" s="1">
        <v>6.3</v>
      </c>
      <c r="S60">
        <v>3</v>
      </c>
      <c r="T60">
        <v>35.799999999999997</v>
      </c>
      <c r="U60" t="s">
        <v>3</v>
      </c>
      <c r="V60" t="s">
        <v>0</v>
      </c>
      <c r="W60">
        <v>214</v>
      </c>
      <c r="X60">
        <v>6</v>
      </c>
      <c r="Y60" t="s">
        <v>0</v>
      </c>
      <c r="Z60">
        <v>30.7</v>
      </c>
      <c r="AA60">
        <v>13.72</v>
      </c>
      <c r="AB60" s="1">
        <v>55.309446254071645</v>
      </c>
      <c r="AC60" s="1">
        <v>0</v>
      </c>
      <c r="AD60" t="s">
        <v>28</v>
      </c>
      <c r="AE60" s="1">
        <v>0</v>
      </c>
      <c r="AF60" t="s">
        <v>4</v>
      </c>
      <c r="AG60" t="s">
        <v>0</v>
      </c>
      <c r="AH60">
        <v>0</v>
      </c>
      <c r="AI60">
        <v>3</v>
      </c>
      <c r="AJ60" t="s">
        <v>3</v>
      </c>
      <c r="AK60" t="s">
        <v>18</v>
      </c>
      <c r="AL60">
        <v>0</v>
      </c>
      <c r="AM60" t="s">
        <v>3</v>
      </c>
      <c r="AN60" t="s">
        <v>1</v>
      </c>
      <c r="AO60" s="1">
        <v>54.4</v>
      </c>
      <c r="AP60" s="1">
        <v>65.400000000000006</v>
      </c>
      <c r="AQ60">
        <v>21.2</v>
      </c>
      <c r="AR60">
        <v>93.7</v>
      </c>
      <c r="AS60" t="s">
        <v>0</v>
      </c>
    </row>
    <row r="61" spans="1:45" x14ac:dyDescent="0.35">
      <c r="A61" t="s">
        <v>262</v>
      </c>
      <c r="B61" t="s">
        <v>261</v>
      </c>
      <c r="C61" t="s">
        <v>240</v>
      </c>
      <c r="D61" t="s">
        <v>250</v>
      </c>
      <c r="E61" t="s">
        <v>24</v>
      </c>
      <c r="F61" t="s">
        <v>220</v>
      </c>
      <c r="G61">
        <v>26</v>
      </c>
      <c r="H61">
        <v>32</v>
      </c>
      <c r="I61" t="s">
        <v>11</v>
      </c>
      <c r="J61" t="s">
        <v>10</v>
      </c>
      <c r="K61" t="s">
        <v>21</v>
      </c>
      <c r="L61" t="s">
        <v>0</v>
      </c>
      <c r="M61" t="s">
        <v>3</v>
      </c>
      <c r="N61" t="s">
        <v>55</v>
      </c>
      <c r="O61" t="s">
        <v>0</v>
      </c>
      <c r="P61" t="s">
        <v>79</v>
      </c>
      <c r="Q61">
        <v>53913</v>
      </c>
      <c r="R61" s="1">
        <v>-6.7</v>
      </c>
      <c r="S61">
        <v>5</v>
      </c>
      <c r="T61">
        <v>28.9</v>
      </c>
      <c r="U61" t="s">
        <v>0</v>
      </c>
      <c r="V61" t="s">
        <v>0</v>
      </c>
      <c r="W61">
        <v>118</v>
      </c>
      <c r="X61">
        <v>4</v>
      </c>
      <c r="Y61" t="s">
        <v>3</v>
      </c>
      <c r="Z61">
        <v>24.06</v>
      </c>
      <c r="AA61">
        <v>14.96</v>
      </c>
      <c r="AB61" s="1">
        <v>37.82211138819617</v>
      </c>
      <c r="AC61" s="1">
        <v>0</v>
      </c>
      <c r="AD61" t="s">
        <v>28</v>
      </c>
      <c r="AE61" s="1">
        <v>0</v>
      </c>
      <c r="AF61" t="s">
        <v>118</v>
      </c>
      <c r="AG61" t="s">
        <v>0</v>
      </c>
      <c r="AH61">
        <v>3</v>
      </c>
      <c r="AI61">
        <v>0</v>
      </c>
      <c r="AJ61" t="s">
        <v>0</v>
      </c>
      <c r="AK61" t="s">
        <v>2</v>
      </c>
      <c r="AL61">
        <v>14</v>
      </c>
      <c r="AM61" t="s">
        <v>3</v>
      </c>
      <c r="AN61" t="s">
        <v>48</v>
      </c>
      <c r="AO61" s="1">
        <v>34.799999999999997</v>
      </c>
      <c r="AP61" s="1">
        <v>34</v>
      </c>
      <c r="AQ61">
        <v>40.299999999999997</v>
      </c>
      <c r="AR61">
        <v>71.3</v>
      </c>
      <c r="AS61" t="s">
        <v>3</v>
      </c>
    </row>
    <row r="62" spans="1:45" x14ac:dyDescent="0.35">
      <c r="A62" t="s">
        <v>260</v>
      </c>
      <c r="B62" t="s">
        <v>259</v>
      </c>
      <c r="C62" t="s">
        <v>240</v>
      </c>
      <c r="D62" t="s">
        <v>243</v>
      </c>
      <c r="E62" t="s">
        <v>13</v>
      </c>
      <c r="F62" t="s">
        <v>123</v>
      </c>
      <c r="G62">
        <v>22</v>
      </c>
      <c r="H62">
        <v>15</v>
      </c>
      <c r="I62" t="s">
        <v>22</v>
      </c>
      <c r="J62" t="s">
        <v>61</v>
      </c>
      <c r="K62" t="s">
        <v>21</v>
      </c>
      <c r="L62" t="s">
        <v>0</v>
      </c>
      <c r="M62" t="s">
        <v>3</v>
      </c>
      <c r="N62" t="s">
        <v>34</v>
      </c>
      <c r="O62" t="s">
        <v>0</v>
      </c>
      <c r="P62" t="s">
        <v>60</v>
      </c>
      <c r="Q62">
        <v>92339</v>
      </c>
      <c r="R62" s="1">
        <v>-10.4</v>
      </c>
      <c r="S62">
        <v>5</v>
      </c>
      <c r="T62">
        <v>25.7</v>
      </c>
      <c r="U62" t="s">
        <v>3</v>
      </c>
      <c r="V62" t="s">
        <v>0</v>
      </c>
      <c r="W62">
        <v>99</v>
      </c>
      <c r="X62">
        <v>2</v>
      </c>
      <c r="Y62" t="s">
        <v>0</v>
      </c>
      <c r="Z62">
        <v>22.85</v>
      </c>
      <c r="AA62">
        <v>8.26</v>
      </c>
      <c r="AB62" s="1">
        <v>63.851203501094098</v>
      </c>
      <c r="AC62" s="1">
        <v>157860</v>
      </c>
      <c r="AD62" t="s">
        <v>49</v>
      </c>
      <c r="AE62" s="1">
        <v>7.4817075307822431E-2</v>
      </c>
      <c r="AF62" t="s">
        <v>138</v>
      </c>
      <c r="AG62" t="s">
        <v>0</v>
      </c>
      <c r="AH62">
        <v>2</v>
      </c>
      <c r="AI62">
        <v>0</v>
      </c>
      <c r="AJ62" t="s">
        <v>3</v>
      </c>
      <c r="AK62" t="s">
        <v>18</v>
      </c>
      <c r="AL62">
        <v>0</v>
      </c>
      <c r="AM62" t="s">
        <v>0</v>
      </c>
      <c r="AN62" t="s">
        <v>7</v>
      </c>
      <c r="AO62" s="1">
        <v>36.6</v>
      </c>
      <c r="AP62" s="1">
        <v>23.8</v>
      </c>
      <c r="AQ62">
        <v>10.1</v>
      </c>
      <c r="AR62">
        <v>80.2</v>
      </c>
      <c r="AS62" t="s">
        <v>0</v>
      </c>
    </row>
    <row r="63" spans="1:45" x14ac:dyDescent="0.35">
      <c r="A63" t="s">
        <v>258</v>
      </c>
      <c r="B63" t="s">
        <v>70</v>
      </c>
      <c r="C63" t="s">
        <v>240</v>
      </c>
      <c r="D63" t="s">
        <v>239</v>
      </c>
      <c r="E63" t="s">
        <v>38</v>
      </c>
      <c r="F63" t="s">
        <v>123</v>
      </c>
      <c r="G63">
        <v>20</v>
      </c>
      <c r="H63">
        <v>10</v>
      </c>
      <c r="I63" t="s">
        <v>22</v>
      </c>
      <c r="J63" t="s">
        <v>29</v>
      </c>
      <c r="K63" t="s">
        <v>9</v>
      </c>
      <c r="L63" t="s">
        <v>0</v>
      </c>
      <c r="M63" t="s">
        <v>0</v>
      </c>
      <c r="N63" t="s">
        <v>55</v>
      </c>
      <c r="O63" t="s">
        <v>0</v>
      </c>
      <c r="P63" t="s">
        <v>79</v>
      </c>
      <c r="Q63">
        <v>51270</v>
      </c>
      <c r="R63" s="1">
        <v>-1.7</v>
      </c>
      <c r="S63">
        <v>2</v>
      </c>
      <c r="T63">
        <v>24.3</v>
      </c>
      <c r="U63" t="s">
        <v>3</v>
      </c>
      <c r="V63" t="s">
        <v>3</v>
      </c>
      <c r="W63">
        <v>75</v>
      </c>
      <c r="X63">
        <v>5</v>
      </c>
      <c r="Y63" t="s">
        <v>3</v>
      </c>
      <c r="Z63">
        <v>13.24</v>
      </c>
      <c r="AA63">
        <v>8</v>
      </c>
      <c r="AB63" s="1">
        <v>39.577039274924473</v>
      </c>
      <c r="AC63" s="1">
        <v>0</v>
      </c>
      <c r="AD63" t="s">
        <v>28</v>
      </c>
      <c r="AE63" s="1">
        <v>0</v>
      </c>
      <c r="AF63" t="s">
        <v>143</v>
      </c>
      <c r="AG63" t="s">
        <v>0</v>
      </c>
      <c r="AH63">
        <v>4</v>
      </c>
      <c r="AI63">
        <v>1</v>
      </c>
      <c r="AJ63" t="s">
        <v>3</v>
      </c>
      <c r="AK63" t="s">
        <v>54</v>
      </c>
      <c r="AL63">
        <v>6</v>
      </c>
      <c r="AM63" t="s">
        <v>3</v>
      </c>
      <c r="AN63" t="s">
        <v>1</v>
      </c>
      <c r="AO63" s="1">
        <v>61.9</v>
      </c>
      <c r="AP63" s="1">
        <v>70.599999999999994</v>
      </c>
      <c r="AQ63">
        <v>47.8</v>
      </c>
      <c r="AR63">
        <v>69.099999999999994</v>
      </c>
      <c r="AS63" t="s">
        <v>3</v>
      </c>
    </row>
    <row r="64" spans="1:45" x14ac:dyDescent="0.35">
      <c r="A64" t="s">
        <v>257</v>
      </c>
      <c r="B64" t="s">
        <v>256</v>
      </c>
      <c r="C64" t="s">
        <v>240</v>
      </c>
      <c r="D64" t="s">
        <v>243</v>
      </c>
      <c r="E64" t="s">
        <v>24</v>
      </c>
      <c r="F64" t="s">
        <v>253</v>
      </c>
      <c r="G64">
        <v>10</v>
      </c>
      <c r="H64">
        <v>7</v>
      </c>
      <c r="I64" t="s">
        <v>22</v>
      </c>
      <c r="J64" t="s">
        <v>35</v>
      </c>
      <c r="K64" t="s">
        <v>9</v>
      </c>
      <c r="L64" t="s">
        <v>3</v>
      </c>
      <c r="M64" t="s">
        <v>3</v>
      </c>
      <c r="N64" t="s">
        <v>8</v>
      </c>
      <c r="O64" t="s">
        <v>3</v>
      </c>
      <c r="P64" t="s">
        <v>72</v>
      </c>
      <c r="Q64">
        <v>57836</v>
      </c>
      <c r="R64" s="1">
        <v>-9.9</v>
      </c>
      <c r="S64">
        <v>4</v>
      </c>
      <c r="T64">
        <v>29.1</v>
      </c>
      <c r="U64" t="s">
        <v>0</v>
      </c>
      <c r="V64" t="s">
        <v>0</v>
      </c>
      <c r="W64">
        <v>258</v>
      </c>
      <c r="X64">
        <v>5</v>
      </c>
      <c r="Y64" t="s">
        <v>0</v>
      </c>
      <c r="Z64">
        <v>28.34</v>
      </c>
      <c r="AA64">
        <v>12.96</v>
      </c>
      <c r="AB64" s="1">
        <v>54.269583627381792</v>
      </c>
      <c r="AC64" s="1">
        <v>792715</v>
      </c>
      <c r="AD64" t="s">
        <v>7</v>
      </c>
      <c r="AE64" s="1">
        <v>0.48363640152919679</v>
      </c>
      <c r="AF64" t="s">
        <v>4</v>
      </c>
      <c r="AG64" t="s">
        <v>0</v>
      </c>
      <c r="AH64">
        <v>1</v>
      </c>
      <c r="AI64">
        <v>3</v>
      </c>
      <c r="AJ64" t="s">
        <v>0</v>
      </c>
      <c r="AK64" t="s">
        <v>2</v>
      </c>
      <c r="AL64">
        <v>19</v>
      </c>
      <c r="AM64" t="s">
        <v>0</v>
      </c>
      <c r="AN64" t="s">
        <v>1</v>
      </c>
      <c r="AO64" s="1">
        <v>87.5</v>
      </c>
      <c r="AP64" s="1">
        <v>12.3</v>
      </c>
      <c r="AQ64">
        <v>16.8</v>
      </c>
      <c r="AR64">
        <v>91.7</v>
      </c>
      <c r="AS64" t="s">
        <v>3</v>
      </c>
    </row>
    <row r="65" spans="1:45" x14ac:dyDescent="0.35">
      <c r="A65" t="s">
        <v>255</v>
      </c>
      <c r="B65" t="s">
        <v>254</v>
      </c>
      <c r="C65" t="s">
        <v>240</v>
      </c>
      <c r="D65" t="s">
        <v>250</v>
      </c>
      <c r="E65" t="s">
        <v>13</v>
      </c>
      <c r="F65" t="s">
        <v>253</v>
      </c>
      <c r="G65">
        <v>18</v>
      </c>
      <c r="H65">
        <v>22</v>
      </c>
      <c r="I65" t="s">
        <v>22</v>
      </c>
      <c r="J65" t="s">
        <v>29</v>
      </c>
      <c r="K65" t="s">
        <v>21</v>
      </c>
      <c r="L65" t="s">
        <v>0</v>
      </c>
      <c r="M65" t="s">
        <v>0</v>
      </c>
      <c r="N65" t="s">
        <v>55</v>
      </c>
      <c r="O65" t="s">
        <v>0</v>
      </c>
      <c r="P65" t="s">
        <v>50</v>
      </c>
      <c r="Q65">
        <v>58356</v>
      </c>
      <c r="R65" s="1">
        <v>-2.6</v>
      </c>
      <c r="S65">
        <v>3</v>
      </c>
      <c r="T65">
        <v>38.799999999999997</v>
      </c>
      <c r="U65" t="s">
        <v>3</v>
      </c>
      <c r="V65" t="s">
        <v>0</v>
      </c>
      <c r="W65">
        <v>53</v>
      </c>
      <c r="X65">
        <v>2</v>
      </c>
      <c r="Y65" t="s">
        <v>0</v>
      </c>
      <c r="Z65">
        <v>36.64</v>
      </c>
      <c r="AA65">
        <v>26.29</v>
      </c>
      <c r="AB65" s="1">
        <v>28.247816593886466</v>
      </c>
      <c r="AC65" s="1">
        <v>0</v>
      </c>
      <c r="AD65" t="s">
        <v>7</v>
      </c>
      <c r="AE65" s="1">
        <v>0</v>
      </c>
      <c r="AF65" t="s">
        <v>4</v>
      </c>
      <c r="AG65" t="s">
        <v>3</v>
      </c>
      <c r="AH65">
        <v>1</v>
      </c>
      <c r="AI65">
        <v>1</v>
      </c>
      <c r="AJ65" t="s">
        <v>3</v>
      </c>
      <c r="AK65" t="s">
        <v>2</v>
      </c>
      <c r="AL65">
        <v>19</v>
      </c>
      <c r="AM65" t="s">
        <v>3</v>
      </c>
      <c r="AN65" t="s">
        <v>1</v>
      </c>
      <c r="AO65" s="1">
        <v>48.9</v>
      </c>
      <c r="AP65" s="1">
        <v>50.4</v>
      </c>
      <c r="AQ65">
        <v>17.100000000000001</v>
      </c>
      <c r="AR65">
        <v>64.900000000000006</v>
      </c>
      <c r="AS65" t="s">
        <v>0</v>
      </c>
    </row>
    <row r="66" spans="1:45" x14ac:dyDescent="0.35">
      <c r="A66" t="s">
        <v>252</v>
      </c>
      <c r="B66" t="s">
        <v>251</v>
      </c>
      <c r="C66" t="s">
        <v>240</v>
      </c>
      <c r="D66" t="s">
        <v>250</v>
      </c>
      <c r="E66" t="s">
        <v>38</v>
      </c>
      <c r="F66" t="s">
        <v>123</v>
      </c>
      <c r="G66">
        <v>24</v>
      </c>
      <c r="H66">
        <v>34</v>
      </c>
      <c r="I66" t="s">
        <v>22</v>
      </c>
      <c r="J66" t="s">
        <v>10</v>
      </c>
      <c r="K66" t="s">
        <v>9</v>
      </c>
      <c r="L66" t="s">
        <v>3</v>
      </c>
      <c r="M66" t="s">
        <v>3</v>
      </c>
      <c r="N66" t="s">
        <v>34</v>
      </c>
      <c r="O66" t="s">
        <v>0</v>
      </c>
      <c r="P66" t="s">
        <v>72</v>
      </c>
      <c r="Q66">
        <v>72129</v>
      </c>
      <c r="R66" s="1">
        <v>-6.9</v>
      </c>
      <c r="S66">
        <v>4</v>
      </c>
      <c r="T66">
        <v>35.6</v>
      </c>
      <c r="U66" t="s">
        <v>3</v>
      </c>
      <c r="V66" t="s">
        <v>3</v>
      </c>
      <c r="W66">
        <v>150</v>
      </c>
      <c r="X66">
        <v>3</v>
      </c>
      <c r="Y66" t="s">
        <v>0</v>
      </c>
      <c r="Z66">
        <v>11.09</v>
      </c>
      <c r="AA66">
        <v>7.66</v>
      </c>
      <c r="AB66" s="1">
        <v>30.928764652840396</v>
      </c>
      <c r="AC66" s="1">
        <v>0</v>
      </c>
      <c r="AD66" t="s">
        <v>28</v>
      </c>
      <c r="AE66" s="1">
        <v>0</v>
      </c>
      <c r="AF66" t="s">
        <v>4</v>
      </c>
      <c r="AG66" t="s">
        <v>0</v>
      </c>
      <c r="AH66">
        <v>0</v>
      </c>
      <c r="AI66">
        <v>0</v>
      </c>
      <c r="AJ66" t="s">
        <v>3</v>
      </c>
      <c r="AK66" t="s">
        <v>54</v>
      </c>
      <c r="AL66">
        <v>2</v>
      </c>
      <c r="AM66" t="s">
        <v>0</v>
      </c>
      <c r="AN66" t="s">
        <v>1</v>
      </c>
      <c r="AO66" s="1">
        <v>45.7</v>
      </c>
      <c r="AP66" s="1">
        <v>79.400000000000006</v>
      </c>
      <c r="AQ66">
        <v>24.3</v>
      </c>
      <c r="AR66">
        <v>99.7</v>
      </c>
      <c r="AS66" t="s">
        <v>0</v>
      </c>
    </row>
    <row r="67" spans="1:45" x14ac:dyDescent="0.35">
      <c r="A67" t="s">
        <v>249</v>
      </c>
      <c r="B67" t="s">
        <v>248</v>
      </c>
      <c r="C67" t="s">
        <v>240</v>
      </c>
      <c r="D67" t="s">
        <v>239</v>
      </c>
      <c r="E67" t="s">
        <v>38</v>
      </c>
      <c r="F67" t="s">
        <v>123</v>
      </c>
      <c r="G67">
        <v>24</v>
      </c>
      <c r="H67">
        <v>19</v>
      </c>
      <c r="I67" t="s">
        <v>22</v>
      </c>
      <c r="J67" t="s">
        <v>10</v>
      </c>
      <c r="K67" t="s">
        <v>21</v>
      </c>
      <c r="L67" t="s">
        <v>0</v>
      </c>
      <c r="M67" t="s">
        <v>3</v>
      </c>
      <c r="N67" t="s">
        <v>34</v>
      </c>
      <c r="O67" t="s">
        <v>3</v>
      </c>
      <c r="P67" t="s">
        <v>50</v>
      </c>
      <c r="Q67">
        <v>32475</v>
      </c>
      <c r="R67" s="1">
        <v>-19.899999999999999</v>
      </c>
      <c r="S67">
        <v>4</v>
      </c>
      <c r="T67">
        <v>16.899999999999999</v>
      </c>
      <c r="U67" t="s">
        <v>3</v>
      </c>
      <c r="V67" t="s">
        <v>0</v>
      </c>
      <c r="W67">
        <v>232</v>
      </c>
      <c r="X67">
        <v>1</v>
      </c>
      <c r="Y67" t="s">
        <v>3</v>
      </c>
      <c r="Z67">
        <v>19.399999999999999</v>
      </c>
      <c r="AA67">
        <v>7.73</v>
      </c>
      <c r="AB67" s="1">
        <v>60.154639175257728</v>
      </c>
      <c r="AC67" s="1">
        <v>0</v>
      </c>
      <c r="AD67" t="s">
        <v>28</v>
      </c>
      <c r="AE67" s="1">
        <v>0</v>
      </c>
      <c r="AF67" t="s">
        <v>4</v>
      </c>
      <c r="AG67" t="s">
        <v>0</v>
      </c>
      <c r="AH67">
        <v>1</v>
      </c>
      <c r="AI67">
        <v>3</v>
      </c>
      <c r="AJ67" t="s">
        <v>0</v>
      </c>
      <c r="AK67" t="s">
        <v>2</v>
      </c>
      <c r="AL67">
        <v>19</v>
      </c>
      <c r="AM67" t="s">
        <v>3</v>
      </c>
      <c r="AN67" t="s">
        <v>1</v>
      </c>
      <c r="AO67" s="1">
        <v>88.1</v>
      </c>
      <c r="AP67" s="1">
        <v>19.600000000000001</v>
      </c>
      <c r="AQ67">
        <v>39.799999999999997</v>
      </c>
      <c r="AR67">
        <v>85.2</v>
      </c>
      <c r="AS67" t="s">
        <v>3</v>
      </c>
    </row>
    <row r="68" spans="1:45" x14ac:dyDescent="0.35">
      <c r="A68" t="s">
        <v>247</v>
      </c>
      <c r="B68" t="s">
        <v>198</v>
      </c>
      <c r="C68" t="s">
        <v>240</v>
      </c>
      <c r="D68" t="s">
        <v>239</v>
      </c>
      <c r="E68" t="s">
        <v>38</v>
      </c>
      <c r="F68" t="s">
        <v>220</v>
      </c>
      <c r="G68">
        <v>28</v>
      </c>
      <c r="H68">
        <v>18</v>
      </c>
      <c r="I68" t="s">
        <v>11</v>
      </c>
      <c r="J68" t="s">
        <v>10</v>
      </c>
      <c r="K68" t="s">
        <v>21</v>
      </c>
      <c r="L68" t="s">
        <v>3</v>
      </c>
      <c r="M68" t="s">
        <v>0</v>
      </c>
      <c r="N68" t="s">
        <v>20</v>
      </c>
      <c r="O68" t="s">
        <v>0</v>
      </c>
      <c r="P68" t="s">
        <v>60</v>
      </c>
      <c r="Q68">
        <v>118624</v>
      </c>
      <c r="R68" s="1">
        <v>-12.6</v>
      </c>
      <c r="S68">
        <v>4</v>
      </c>
      <c r="T68">
        <v>23.8</v>
      </c>
      <c r="U68" t="s">
        <v>3</v>
      </c>
      <c r="V68" t="s">
        <v>0</v>
      </c>
      <c r="W68">
        <v>131</v>
      </c>
      <c r="X68">
        <v>3</v>
      </c>
      <c r="Y68" t="s">
        <v>0</v>
      </c>
      <c r="Z68">
        <v>15.68</v>
      </c>
      <c r="AA68">
        <v>9.26</v>
      </c>
      <c r="AB68" s="1">
        <v>40.943877551020407</v>
      </c>
      <c r="AC68" s="1">
        <v>0</v>
      </c>
      <c r="AD68" t="s">
        <v>28</v>
      </c>
      <c r="AE68" s="1">
        <v>0</v>
      </c>
      <c r="AF68" t="s">
        <v>134</v>
      </c>
      <c r="AG68" t="s">
        <v>0</v>
      </c>
      <c r="AH68">
        <v>0</v>
      </c>
      <c r="AI68">
        <v>2</v>
      </c>
      <c r="AJ68" t="s">
        <v>3</v>
      </c>
      <c r="AK68" t="s">
        <v>2</v>
      </c>
      <c r="AL68">
        <v>16</v>
      </c>
      <c r="AM68" t="s">
        <v>3</v>
      </c>
      <c r="AN68" t="s">
        <v>1</v>
      </c>
      <c r="AO68" s="1">
        <v>29.6</v>
      </c>
      <c r="AP68" s="1">
        <v>13.8</v>
      </c>
      <c r="AQ68">
        <v>45.4</v>
      </c>
      <c r="AR68">
        <v>97.3</v>
      </c>
      <c r="AS68" t="s">
        <v>0</v>
      </c>
    </row>
    <row r="69" spans="1:45" x14ac:dyDescent="0.35">
      <c r="A69" t="s">
        <v>246</v>
      </c>
      <c r="B69" t="s">
        <v>245</v>
      </c>
      <c r="C69" t="s">
        <v>240</v>
      </c>
      <c r="D69" t="s">
        <v>239</v>
      </c>
      <c r="E69" t="s">
        <v>38</v>
      </c>
      <c r="F69" t="s">
        <v>12</v>
      </c>
      <c r="G69">
        <v>18</v>
      </c>
      <c r="H69">
        <v>16</v>
      </c>
      <c r="I69" t="s">
        <v>22</v>
      </c>
      <c r="J69" t="s">
        <v>10</v>
      </c>
      <c r="K69" t="s">
        <v>9</v>
      </c>
      <c r="L69" t="s">
        <v>3</v>
      </c>
      <c r="M69" t="s">
        <v>0</v>
      </c>
      <c r="N69" t="s">
        <v>55</v>
      </c>
      <c r="O69" t="s">
        <v>7</v>
      </c>
      <c r="P69" t="s">
        <v>79</v>
      </c>
      <c r="Q69">
        <v>96986</v>
      </c>
      <c r="R69" s="1">
        <v>-15.9</v>
      </c>
      <c r="S69">
        <v>3</v>
      </c>
      <c r="T69">
        <v>20.399999999999999</v>
      </c>
      <c r="U69" t="s">
        <v>0</v>
      </c>
      <c r="V69" t="s">
        <v>0</v>
      </c>
      <c r="W69">
        <v>219</v>
      </c>
      <c r="X69">
        <v>5</v>
      </c>
      <c r="Y69" t="s">
        <v>3</v>
      </c>
      <c r="Z69">
        <v>33.79</v>
      </c>
      <c r="AA69">
        <v>22.19</v>
      </c>
      <c r="AB69" s="1">
        <v>34.329683338265752</v>
      </c>
      <c r="AC69" s="1">
        <v>321822</v>
      </c>
      <c r="AD69" t="s">
        <v>65</v>
      </c>
      <c r="AE69" s="1">
        <v>9.8201583229639289E-2</v>
      </c>
      <c r="AF69" t="s">
        <v>4</v>
      </c>
      <c r="AG69" t="s">
        <v>3</v>
      </c>
      <c r="AH69">
        <v>2</v>
      </c>
      <c r="AI69">
        <v>0</v>
      </c>
      <c r="AJ69" t="s">
        <v>0</v>
      </c>
      <c r="AK69" t="s">
        <v>18</v>
      </c>
      <c r="AL69">
        <v>0</v>
      </c>
      <c r="AM69" t="s">
        <v>0</v>
      </c>
      <c r="AN69" t="s">
        <v>48</v>
      </c>
      <c r="AO69" s="1">
        <v>53.6</v>
      </c>
      <c r="AP69" s="1">
        <v>37.4</v>
      </c>
      <c r="AQ69">
        <v>33.5</v>
      </c>
      <c r="AR69">
        <v>90.1</v>
      </c>
      <c r="AS69" t="s">
        <v>0</v>
      </c>
    </row>
    <row r="70" spans="1:45" x14ac:dyDescent="0.35">
      <c r="A70" t="s">
        <v>244</v>
      </c>
      <c r="B70" t="s">
        <v>139</v>
      </c>
      <c r="C70" t="s">
        <v>240</v>
      </c>
      <c r="D70" t="s">
        <v>243</v>
      </c>
      <c r="E70" t="s">
        <v>13</v>
      </c>
      <c r="F70" t="s">
        <v>220</v>
      </c>
      <c r="G70">
        <v>10</v>
      </c>
      <c r="H70">
        <v>16</v>
      </c>
      <c r="I70" t="s">
        <v>11</v>
      </c>
      <c r="J70" t="s">
        <v>10</v>
      </c>
      <c r="K70" t="s">
        <v>21</v>
      </c>
      <c r="L70" t="s">
        <v>0</v>
      </c>
      <c r="M70" t="s">
        <v>3</v>
      </c>
      <c r="N70" t="s">
        <v>34</v>
      </c>
      <c r="O70" t="s">
        <v>0</v>
      </c>
      <c r="P70" t="s">
        <v>50</v>
      </c>
      <c r="Q70">
        <v>37984</v>
      </c>
      <c r="R70" s="1">
        <v>22.1</v>
      </c>
      <c r="S70">
        <v>2</v>
      </c>
      <c r="T70">
        <v>27.4</v>
      </c>
      <c r="U70" t="s">
        <v>3</v>
      </c>
      <c r="V70" t="s">
        <v>0</v>
      </c>
      <c r="W70">
        <v>137</v>
      </c>
      <c r="X70">
        <v>2</v>
      </c>
      <c r="Y70" t="s">
        <v>3</v>
      </c>
      <c r="Z70">
        <v>35.24</v>
      </c>
      <c r="AA70">
        <v>24.65</v>
      </c>
      <c r="AB70" s="1">
        <v>30.051078320090813</v>
      </c>
      <c r="AC70" s="1">
        <v>0</v>
      </c>
      <c r="AD70" t="s">
        <v>28</v>
      </c>
      <c r="AE70" s="1">
        <v>0</v>
      </c>
      <c r="AF70" t="s">
        <v>118</v>
      </c>
      <c r="AG70" t="s">
        <v>0</v>
      </c>
      <c r="AH70">
        <v>2</v>
      </c>
      <c r="AI70">
        <v>3</v>
      </c>
      <c r="AJ70" t="s">
        <v>3</v>
      </c>
      <c r="AK70" t="s">
        <v>2</v>
      </c>
      <c r="AL70">
        <v>16</v>
      </c>
      <c r="AM70" t="s">
        <v>0</v>
      </c>
      <c r="AN70" t="s">
        <v>32</v>
      </c>
      <c r="AO70" s="1">
        <v>49.6</v>
      </c>
      <c r="AP70" s="1">
        <v>45.8</v>
      </c>
      <c r="AQ70">
        <v>7.5</v>
      </c>
      <c r="AR70">
        <v>91.6</v>
      </c>
      <c r="AS70" t="s">
        <v>3</v>
      </c>
    </row>
    <row r="71" spans="1:45" x14ac:dyDescent="0.35">
      <c r="A71" t="s">
        <v>242</v>
      </c>
      <c r="B71" t="s">
        <v>241</v>
      </c>
      <c r="C71" t="s">
        <v>240</v>
      </c>
      <c r="D71" t="s">
        <v>239</v>
      </c>
      <c r="E71" t="s">
        <v>24</v>
      </c>
      <c r="F71" t="s">
        <v>220</v>
      </c>
      <c r="G71">
        <v>12</v>
      </c>
      <c r="H71">
        <v>29</v>
      </c>
      <c r="I71" t="s">
        <v>22</v>
      </c>
      <c r="J71" t="s">
        <v>35</v>
      </c>
      <c r="K71" t="s">
        <v>21</v>
      </c>
      <c r="L71" t="s">
        <v>3</v>
      </c>
      <c r="M71" t="s">
        <v>0</v>
      </c>
      <c r="N71" t="s">
        <v>34</v>
      </c>
      <c r="O71" t="s">
        <v>3</v>
      </c>
      <c r="P71" t="s">
        <v>79</v>
      </c>
      <c r="Q71">
        <v>92465</v>
      </c>
      <c r="R71" s="1">
        <v>28.2</v>
      </c>
      <c r="S71">
        <v>4</v>
      </c>
      <c r="T71">
        <v>20.6</v>
      </c>
      <c r="U71" t="s">
        <v>3</v>
      </c>
      <c r="V71" t="s">
        <v>0</v>
      </c>
      <c r="W71">
        <v>248</v>
      </c>
      <c r="X71">
        <v>3</v>
      </c>
      <c r="Y71" t="s">
        <v>0</v>
      </c>
      <c r="Z71">
        <v>28.29</v>
      </c>
      <c r="AA71">
        <v>11.25</v>
      </c>
      <c r="AB71" s="1">
        <v>60.233297985153769</v>
      </c>
      <c r="AC71" s="1">
        <v>0</v>
      </c>
      <c r="AD71" t="s">
        <v>28</v>
      </c>
      <c r="AE71" s="1">
        <v>0</v>
      </c>
      <c r="AF71" t="s">
        <v>4</v>
      </c>
      <c r="AG71" t="s">
        <v>3</v>
      </c>
      <c r="AH71">
        <v>4</v>
      </c>
      <c r="AI71">
        <v>0</v>
      </c>
      <c r="AJ71" t="s">
        <v>0</v>
      </c>
      <c r="AK71" t="s">
        <v>54</v>
      </c>
      <c r="AL71">
        <v>3</v>
      </c>
      <c r="AM71" t="s">
        <v>0</v>
      </c>
      <c r="AN71" t="s">
        <v>1</v>
      </c>
      <c r="AO71" s="1">
        <v>32.700000000000003</v>
      </c>
      <c r="AP71" s="1">
        <v>48.7</v>
      </c>
      <c r="AQ71">
        <v>5.4</v>
      </c>
      <c r="AR71">
        <v>52</v>
      </c>
      <c r="AS71" t="s">
        <v>0</v>
      </c>
    </row>
    <row r="72" spans="1:45" x14ac:dyDescent="0.35">
      <c r="A72" t="s">
        <v>238</v>
      </c>
      <c r="B72" t="s">
        <v>237</v>
      </c>
      <c r="C72" t="s">
        <v>197</v>
      </c>
      <c r="D72" t="s">
        <v>206</v>
      </c>
      <c r="E72" t="s">
        <v>13</v>
      </c>
      <c r="F72" t="s">
        <v>195</v>
      </c>
      <c r="G72">
        <v>1</v>
      </c>
      <c r="H72">
        <v>19</v>
      </c>
      <c r="I72" t="s">
        <v>22</v>
      </c>
      <c r="J72" t="s">
        <v>10</v>
      </c>
      <c r="K72" t="s">
        <v>9</v>
      </c>
      <c r="L72" t="s">
        <v>3</v>
      </c>
      <c r="M72" t="s">
        <v>0</v>
      </c>
      <c r="N72" t="s">
        <v>34</v>
      </c>
      <c r="O72" t="s">
        <v>3</v>
      </c>
      <c r="P72" t="s">
        <v>6</v>
      </c>
      <c r="Q72">
        <v>20191</v>
      </c>
      <c r="R72" s="1">
        <v>25.5</v>
      </c>
      <c r="S72">
        <v>4</v>
      </c>
      <c r="T72">
        <v>36.200000000000003</v>
      </c>
      <c r="U72" t="s">
        <v>0</v>
      </c>
      <c r="V72" t="s">
        <v>0</v>
      </c>
      <c r="W72">
        <v>58</v>
      </c>
      <c r="X72">
        <v>2</v>
      </c>
      <c r="Y72" t="s">
        <v>0</v>
      </c>
      <c r="Z72">
        <v>15.29</v>
      </c>
      <c r="AA72">
        <v>8.36</v>
      </c>
      <c r="AB72" s="1">
        <v>45.323741007194243</v>
      </c>
      <c r="AC72" s="1">
        <v>797567</v>
      </c>
      <c r="AD72" t="s">
        <v>49</v>
      </c>
      <c r="AE72" s="1">
        <v>2.5834607166698644</v>
      </c>
      <c r="AF72" t="s">
        <v>138</v>
      </c>
      <c r="AG72" t="s">
        <v>0</v>
      </c>
      <c r="AH72">
        <v>4</v>
      </c>
      <c r="AI72">
        <v>3</v>
      </c>
      <c r="AJ72" t="s">
        <v>0</v>
      </c>
      <c r="AK72" t="s">
        <v>2</v>
      </c>
      <c r="AL72">
        <v>15</v>
      </c>
      <c r="AM72" t="s">
        <v>3</v>
      </c>
      <c r="AN72" t="s">
        <v>32</v>
      </c>
      <c r="AO72" s="1">
        <v>50.5</v>
      </c>
      <c r="AP72" s="1">
        <v>54.6</v>
      </c>
      <c r="AQ72">
        <v>22.7</v>
      </c>
      <c r="AR72">
        <v>75.5</v>
      </c>
      <c r="AS72" t="s">
        <v>3</v>
      </c>
    </row>
    <row r="73" spans="1:45" x14ac:dyDescent="0.35">
      <c r="A73" t="s">
        <v>236</v>
      </c>
      <c r="B73" t="s">
        <v>235</v>
      </c>
      <c r="C73" t="s">
        <v>197</v>
      </c>
      <c r="D73" t="s">
        <v>206</v>
      </c>
      <c r="E73" t="s">
        <v>38</v>
      </c>
      <c r="F73" t="s">
        <v>202</v>
      </c>
      <c r="G73">
        <v>7</v>
      </c>
      <c r="H73">
        <v>13</v>
      </c>
      <c r="I73" t="s">
        <v>11</v>
      </c>
      <c r="J73" t="s">
        <v>35</v>
      </c>
      <c r="K73" t="s">
        <v>9</v>
      </c>
      <c r="L73" t="s">
        <v>0</v>
      </c>
      <c r="M73" t="s">
        <v>3</v>
      </c>
      <c r="N73" t="s">
        <v>34</v>
      </c>
      <c r="O73" t="s">
        <v>3</v>
      </c>
      <c r="P73" t="s">
        <v>79</v>
      </c>
      <c r="Q73">
        <v>41544</v>
      </c>
      <c r="S73">
        <v>3</v>
      </c>
      <c r="T73">
        <v>25.2</v>
      </c>
      <c r="U73" t="s">
        <v>3</v>
      </c>
      <c r="V73" t="s">
        <v>0</v>
      </c>
      <c r="W73">
        <v>111</v>
      </c>
      <c r="X73">
        <v>4</v>
      </c>
      <c r="Y73" t="s">
        <v>3</v>
      </c>
      <c r="Z73">
        <v>16.34</v>
      </c>
      <c r="AA73">
        <v>6.5</v>
      </c>
      <c r="AB73" s="1">
        <v>60.220318237454094</v>
      </c>
      <c r="AC73" s="1">
        <v>548844</v>
      </c>
      <c r="AD73" t="s">
        <v>65</v>
      </c>
      <c r="AE73" s="1">
        <v>0.80851588889195303</v>
      </c>
      <c r="AF73" t="s">
        <v>143</v>
      </c>
      <c r="AG73" t="s">
        <v>0</v>
      </c>
      <c r="AH73">
        <v>2</v>
      </c>
      <c r="AI73">
        <v>1</v>
      </c>
      <c r="AJ73" t="s">
        <v>3</v>
      </c>
      <c r="AK73" t="s">
        <v>2</v>
      </c>
      <c r="AL73">
        <v>19</v>
      </c>
      <c r="AM73" t="s">
        <v>3</v>
      </c>
      <c r="AN73" t="s">
        <v>32</v>
      </c>
      <c r="AO73" s="1">
        <v>67.7</v>
      </c>
      <c r="AP73" s="1">
        <v>28.2</v>
      </c>
      <c r="AQ73">
        <v>49.6</v>
      </c>
      <c r="AR73">
        <v>41.9</v>
      </c>
      <c r="AS73" t="s">
        <v>0</v>
      </c>
    </row>
    <row r="74" spans="1:45" x14ac:dyDescent="0.35">
      <c r="A74" t="s">
        <v>234</v>
      </c>
      <c r="B74" t="s">
        <v>233</v>
      </c>
      <c r="C74" t="s">
        <v>197</v>
      </c>
      <c r="D74" t="s">
        <v>204</v>
      </c>
      <c r="E74" t="s">
        <v>13</v>
      </c>
      <c r="F74" t="s">
        <v>186</v>
      </c>
      <c r="G74">
        <v>27</v>
      </c>
      <c r="H74">
        <v>30</v>
      </c>
      <c r="I74" t="s">
        <v>22</v>
      </c>
      <c r="J74" t="s">
        <v>10</v>
      </c>
      <c r="K74" t="s">
        <v>21</v>
      </c>
      <c r="L74" t="s">
        <v>3</v>
      </c>
      <c r="M74" t="s">
        <v>0</v>
      </c>
      <c r="N74" t="s">
        <v>8</v>
      </c>
      <c r="O74" t="s">
        <v>3</v>
      </c>
      <c r="P74" t="s">
        <v>72</v>
      </c>
      <c r="Q74">
        <v>96823</v>
      </c>
      <c r="R74" s="1">
        <v>-4.5</v>
      </c>
      <c r="S74">
        <v>1</v>
      </c>
      <c r="T74">
        <v>15.5</v>
      </c>
      <c r="U74" t="s">
        <v>3</v>
      </c>
      <c r="V74" t="s">
        <v>7</v>
      </c>
      <c r="W74">
        <v>232</v>
      </c>
      <c r="X74">
        <v>2</v>
      </c>
      <c r="Y74" t="s">
        <v>3</v>
      </c>
      <c r="Z74">
        <v>39.04</v>
      </c>
      <c r="AA74">
        <v>26.3</v>
      </c>
      <c r="AB74" s="1">
        <v>32.633196721311478</v>
      </c>
      <c r="AC74" s="1">
        <v>753825</v>
      </c>
      <c r="AD74" t="s">
        <v>5</v>
      </c>
      <c r="AE74" s="1">
        <v>0.19942619014280411</v>
      </c>
      <c r="AF74" t="s">
        <v>4</v>
      </c>
      <c r="AG74" t="s">
        <v>0</v>
      </c>
      <c r="AH74">
        <v>0</v>
      </c>
      <c r="AI74">
        <v>3</v>
      </c>
      <c r="AJ74" t="s">
        <v>3</v>
      </c>
      <c r="AK74" t="s">
        <v>54</v>
      </c>
      <c r="AL74">
        <v>4</v>
      </c>
      <c r="AM74" t="s">
        <v>0</v>
      </c>
      <c r="AN74" t="s">
        <v>1</v>
      </c>
      <c r="AO74" s="1">
        <v>28</v>
      </c>
      <c r="AP74" s="1">
        <v>71.8</v>
      </c>
      <c r="AQ74">
        <v>6.6</v>
      </c>
      <c r="AR74">
        <v>77.2</v>
      </c>
      <c r="AS74" t="s">
        <v>3</v>
      </c>
    </row>
    <row r="75" spans="1:45" x14ac:dyDescent="0.35">
      <c r="A75" t="s">
        <v>232</v>
      </c>
      <c r="B75" t="s">
        <v>174</v>
      </c>
      <c r="C75" t="s">
        <v>197</v>
      </c>
      <c r="D75" t="s">
        <v>204</v>
      </c>
      <c r="E75" t="s">
        <v>13</v>
      </c>
      <c r="F75" t="s">
        <v>186</v>
      </c>
      <c r="G75">
        <v>21</v>
      </c>
      <c r="H75">
        <v>39</v>
      </c>
      <c r="I75" t="s">
        <v>11</v>
      </c>
      <c r="J75" t="s">
        <v>51</v>
      </c>
      <c r="K75" t="s">
        <v>21</v>
      </c>
      <c r="L75" t="s">
        <v>3</v>
      </c>
      <c r="M75" t="s">
        <v>3</v>
      </c>
      <c r="N75" t="s">
        <v>8</v>
      </c>
      <c r="O75" t="s">
        <v>0</v>
      </c>
      <c r="P75" t="s">
        <v>50</v>
      </c>
      <c r="Q75">
        <v>67069</v>
      </c>
      <c r="R75" s="1">
        <v>8.8000000000000007</v>
      </c>
      <c r="S75">
        <v>4</v>
      </c>
      <c r="T75">
        <v>23.6</v>
      </c>
      <c r="U75" t="s">
        <v>0</v>
      </c>
      <c r="V75" t="s">
        <v>3</v>
      </c>
      <c r="W75">
        <v>143</v>
      </c>
      <c r="X75">
        <v>2</v>
      </c>
      <c r="Y75" t="s">
        <v>3</v>
      </c>
      <c r="Z75">
        <v>29.29</v>
      </c>
      <c r="AA75">
        <v>10.59</v>
      </c>
      <c r="AB75" s="1">
        <v>63.844315466029357</v>
      </c>
      <c r="AC75" s="1">
        <v>0</v>
      </c>
      <c r="AD75" t="s">
        <v>28</v>
      </c>
      <c r="AE75" s="1">
        <v>0</v>
      </c>
      <c r="AF75" t="s">
        <v>134</v>
      </c>
      <c r="AG75" t="s">
        <v>0</v>
      </c>
      <c r="AH75">
        <v>3</v>
      </c>
      <c r="AI75">
        <v>2</v>
      </c>
      <c r="AJ75" t="s">
        <v>0</v>
      </c>
      <c r="AK75" t="s">
        <v>18</v>
      </c>
      <c r="AL75">
        <v>0</v>
      </c>
      <c r="AM75" t="s">
        <v>0</v>
      </c>
      <c r="AN75" t="s">
        <v>32</v>
      </c>
      <c r="AO75" s="1">
        <v>24.8</v>
      </c>
      <c r="AP75" s="1">
        <v>26.9</v>
      </c>
      <c r="AQ75">
        <v>29</v>
      </c>
      <c r="AR75">
        <v>87.5</v>
      </c>
      <c r="AS75" t="s">
        <v>0</v>
      </c>
    </row>
    <row r="76" spans="1:45" x14ac:dyDescent="0.35">
      <c r="A76" t="s">
        <v>231</v>
      </c>
      <c r="B76" t="s">
        <v>230</v>
      </c>
      <c r="C76" t="s">
        <v>197</v>
      </c>
      <c r="D76" t="s">
        <v>196</v>
      </c>
      <c r="E76" t="s">
        <v>13</v>
      </c>
      <c r="F76" t="s">
        <v>220</v>
      </c>
      <c r="G76">
        <v>23</v>
      </c>
      <c r="H76">
        <v>27</v>
      </c>
      <c r="I76" t="s">
        <v>22</v>
      </c>
      <c r="J76" t="s">
        <v>61</v>
      </c>
      <c r="K76" t="s">
        <v>21</v>
      </c>
      <c r="L76" t="s">
        <v>0</v>
      </c>
      <c r="M76" t="s">
        <v>3</v>
      </c>
      <c r="N76" t="s">
        <v>34</v>
      </c>
      <c r="O76" t="s">
        <v>7</v>
      </c>
      <c r="P76" t="s">
        <v>60</v>
      </c>
      <c r="Q76">
        <v>129667</v>
      </c>
      <c r="R76" s="1">
        <v>39.299999999999997</v>
      </c>
      <c r="S76">
        <v>4</v>
      </c>
      <c r="T76">
        <v>28.6</v>
      </c>
      <c r="U76" t="s">
        <v>3</v>
      </c>
      <c r="V76" t="s">
        <v>3</v>
      </c>
      <c r="W76">
        <v>33</v>
      </c>
      <c r="X76">
        <v>2</v>
      </c>
      <c r="Y76" t="s">
        <v>0</v>
      </c>
      <c r="Z76">
        <v>6.78</v>
      </c>
      <c r="AA76">
        <v>3.67</v>
      </c>
      <c r="AB76" s="1">
        <v>45.870206489675518</v>
      </c>
      <c r="AC76" s="1">
        <v>491308</v>
      </c>
      <c r="AD76" t="s">
        <v>49</v>
      </c>
      <c r="AE76" s="1">
        <v>0.55884925836689958</v>
      </c>
      <c r="AF76" t="s">
        <v>4</v>
      </c>
      <c r="AG76" t="s">
        <v>0</v>
      </c>
      <c r="AH76">
        <v>2</v>
      </c>
      <c r="AI76">
        <v>0</v>
      </c>
      <c r="AJ76" t="s">
        <v>3</v>
      </c>
      <c r="AK76" t="s">
        <v>2</v>
      </c>
      <c r="AL76">
        <v>10</v>
      </c>
      <c r="AM76" t="s">
        <v>0</v>
      </c>
      <c r="AN76" t="s">
        <v>32</v>
      </c>
      <c r="AO76" s="1">
        <v>84.6</v>
      </c>
      <c r="AP76" s="1">
        <v>70.2</v>
      </c>
      <c r="AQ76">
        <v>48.2</v>
      </c>
      <c r="AR76">
        <v>62.4</v>
      </c>
      <c r="AS76" t="s">
        <v>0</v>
      </c>
    </row>
    <row r="77" spans="1:45" x14ac:dyDescent="0.35">
      <c r="A77" t="s">
        <v>229</v>
      </c>
      <c r="B77" t="s">
        <v>228</v>
      </c>
      <c r="C77" t="s">
        <v>197</v>
      </c>
      <c r="D77" t="s">
        <v>206</v>
      </c>
      <c r="E77" t="s">
        <v>13</v>
      </c>
      <c r="F77" t="s">
        <v>202</v>
      </c>
      <c r="G77">
        <v>21</v>
      </c>
      <c r="H77">
        <v>25</v>
      </c>
      <c r="I77" t="s">
        <v>22</v>
      </c>
      <c r="J77" t="s">
        <v>61</v>
      </c>
      <c r="K77" t="s">
        <v>9</v>
      </c>
      <c r="L77" t="s">
        <v>0</v>
      </c>
      <c r="M77" t="s">
        <v>3</v>
      </c>
      <c r="N77" t="s">
        <v>20</v>
      </c>
      <c r="O77" t="s">
        <v>0</v>
      </c>
      <c r="P77" t="s">
        <v>50</v>
      </c>
      <c r="Q77">
        <v>136601</v>
      </c>
      <c r="R77" s="1">
        <v>35.700000000000003</v>
      </c>
      <c r="S77">
        <v>3</v>
      </c>
      <c r="T77">
        <v>20.6</v>
      </c>
      <c r="U77" t="s">
        <v>3</v>
      </c>
      <c r="V77" t="s">
        <v>3</v>
      </c>
      <c r="W77">
        <v>162</v>
      </c>
      <c r="X77">
        <v>6</v>
      </c>
      <c r="Y77" t="s">
        <v>0</v>
      </c>
      <c r="Z77">
        <v>10.97</v>
      </c>
      <c r="AA77">
        <v>7.04</v>
      </c>
      <c r="AB77" s="1">
        <v>35.824977210574296</v>
      </c>
      <c r="AC77" s="1">
        <v>0</v>
      </c>
      <c r="AD77" t="s">
        <v>28</v>
      </c>
      <c r="AE77" s="1">
        <v>0</v>
      </c>
      <c r="AF77" t="s">
        <v>4</v>
      </c>
      <c r="AG77" t="s">
        <v>0</v>
      </c>
      <c r="AH77">
        <v>4</v>
      </c>
      <c r="AI77">
        <v>0</v>
      </c>
      <c r="AJ77" t="s">
        <v>3</v>
      </c>
      <c r="AK77" t="s">
        <v>2</v>
      </c>
      <c r="AL77">
        <v>17</v>
      </c>
      <c r="AM77" t="s">
        <v>0</v>
      </c>
      <c r="AN77" t="s">
        <v>48</v>
      </c>
      <c r="AO77" s="1">
        <v>64</v>
      </c>
      <c r="AP77" s="1">
        <v>17.3</v>
      </c>
      <c r="AQ77">
        <v>27.3</v>
      </c>
      <c r="AR77">
        <v>59.9</v>
      </c>
      <c r="AS77" t="s">
        <v>3</v>
      </c>
    </row>
    <row r="78" spans="1:45" x14ac:dyDescent="0.35">
      <c r="A78" t="s">
        <v>227</v>
      </c>
      <c r="B78" t="s">
        <v>211</v>
      </c>
      <c r="C78" t="s">
        <v>197</v>
      </c>
      <c r="D78" t="s">
        <v>215</v>
      </c>
      <c r="E78" t="s">
        <v>38</v>
      </c>
      <c r="F78" t="s">
        <v>202</v>
      </c>
      <c r="G78">
        <v>24</v>
      </c>
      <c r="H78">
        <v>5</v>
      </c>
      <c r="I78" t="s">
        <v>11</v>
      </c>
      <c r="J78" t="s">
        <v>51</v>
      </c>
      <c r="K78" t="s">
        <v>21</v>
      </c>
      <c r="L78" t="s">
        <v>3</v>
      </c>
      <c r="M78" t="s">
        <v>3</v>
      </c>
      <c r="N78" t="s">
        <v>34</v>
      </c>
      <c r="O78" t="s">
        <v>7</v>
      </c>
      <c r="P78" t="s">
        <v>42</v>
      </c>
      <c r="Q78">
        <v>116021</v>
      </c>
      <c r="R78" s="1">
        <v>5.2</v>
      </c>
      <c r="S78">
        <v>2</v>
      </c>
      <c r="T78">
        <v>37.1</v>
      </c>
      <c r="U78" t="s">
        <v>3</v>
      </c>
      <c r="V78" t="s">
        <v>3</v>
      </c>
      <c r="W78">
        <v>197</v>
      </c>
      <c r="X78">
        <v>1</v>
      </c>
      <c r="Y78" t="s">
        <v>0</v>
      </c>
      <c r="Z78">
        <v>36.76</v>
      </c>
      <c r="AA78">
        <v>21.37</v>
      </c>
      <c r="AB78" s="1">
        <v>41.866158868335141</v>
      </c>
      <c r="AC78" s="1">
        <v>0</v>
      </c>
      <c r="AD78" t="s">
        <v>19</v>
      </c>
      <c r="AE78" s="1">
        <v>0</v>
      </c>
      <c r="AF78" t="s">
        <v>134</v>
      </c>
      <c r="AG78" t="s">
        <v>0</v>
      </c>
      <c r="AH78">
        <v>0</v>
      </c>
      <c r="AI78">
        <v>2</v>
      </c>
      <c r="AJ78" t="s">
        <v>3</v>
      </c>
      <c r="AK78" t="s">
        <v>2</v>
      </c>
      <c r="AL78">
        <v>13</v>
      </c>
      <c r="AM78" t="s">
        <v>3</v>
      </c>
      <c r="AN78" t="s">
        <v>1</v>
      </c>
      <c r="AO78" s="1">
        <v>17</v>
      </c>
      <c r="AP78" s="1">
        <v>36.299999999999997</v>
      </c>
      <c r="AQ78">
        <v>37.9</v>
      </c>
      <c r="AR78">
        <v>72.8</v>
      </c>
      <c r="AS78" t="s">
        <v>0</v>
      </c>
    </row>
    <row r="79" spans="1:45" x14ac:dyDescent="0.35">
      <c r="A79" t="s">
        <v>226</v>
      </c>
      <c r="B79" t="s">
        <v>225</v>
      </c>
      <c r="C79" t="s">
        <v>197</v>
      </c>
      <c r="D79" t="s">
        <v>204</v>
      </c>
      <c r="E79" t="s">
        <v>38</v>
      </c>
      <c r="F79" t="s">
        <v>186</v>
      </c>
      <c r="G79">
        <v>11</v>
      </c>
      <c r="H79">
        <v>18</v>
      </c>
      <c r="I79" t="s">
        <v>22</v>
      </c>
      <c r="J79" t="s">
        <v>51</v>
      </c>
      <c r="K79" t="s">
        <v>9</v>
      </c>
      <c r="L79" t="s">
        <v>3</v>
      </c>
      <c r="M79" t="s">
        <v>0</v>
      </c>
      <c r="N79" t="s">
        <v>34</v>
      </c>
      <c r="O79" t="s">
        <v>7</v>
      </c>
      <c r="P79" t="s">
        <v>50</v>
      </c>
      <c r="Q79">
        <v>92628</v>
      </c>
      <c r="R79" s="1">
        <v>23.3</v>
      </c>
      <c r="S79">
        <v>5</v>
      </c>
      <c r="T79">
        <v>21.6</v>
      </c>
      <c r="U79" t="s">
        <v>3</v>
      </c>
      <c r="V79" t="s">
        <v>3</v>
      </c>
      <c r="W79">
        <v>30</v>
      </c>
      <c r="X79">
        <v>4</v>
      </c>
      <c r="Y79" t="s">
        <v>0</v>
      </c>
      <c r="Z79">
        <v>38.75</v>
      </c>
      <c r="AA79">
        <v>15.94</v>
      </c>
      <c r="AB79" s="1">
        <v>58.86451612903226</v>
      </c>
      <c r="AC79" s="1">
        <v>342085</v>
      </c>
      <c r="AD79" t="s">
        <v>65</v>
      </c>
      <c r="AE79" s="1">
        <v>9.5305955002806933E-2</v>
      </c>
      <c r="AF79" t="s">
        <v>143</v>
      </c>
      <c r="AG79" t="s">
        <v>0</v>
      </c>
      <c r="AH79">
        <v>0</v>
      </c>
      <c r="AI79">
        <v>0</v>
      </c>
      <c r="AJ79" t="s">
        <v>3</v>
      </c>
      <c r="AK79" t="s">
        <v>2</v>
      </c>
      <c r="AL79">
        <v>10</v>
      </c>
      <c r="AM79" t="s">
        <v>7</v>
      </c>
      <c r="AN79" t="s">
        <v>1</v>
      </c>
      <c r="AO79" s="1">
        <v>84.4</v>
      </c>
      <c r="AP79" s="1">
        <v>31.6</v>
      </c>
      <c r="AQ79">
        <v>22.9</v>
      </c>
      <c r="AR79">
        <v>69.3</v>
      </c>
      <c r="AS79" t="s">
        <v>0</v>
      </c>
    </row>
    <row r="80" spans="1:45" x14ac:dyDescent="0.35">
      <c r="A80" t="s">
        <v>224</v>
      </c>
      <c r="B80" t="s">
        <v>223</v>
      </c>
      <c r="C80" t="s">
        <v>197</v>
      </c>
      <c r="D80" t="s">
        <v>206</v>
      </c>
      <c r="E80" t="s">
        <v>38</v>
      </c>
      <c r="F80" t="s">
        <v>195</v>
      </c>
      <c r="G80">
        <v>19</v>
      </c>
      <c r="H80">
        <v>8</v>
      </c>
      <c r="I80" t="s">
        <v>22</v>
      </c>
      <c r="J80" t="s">
        <v>10</v>
      </c>
      <c r="K80" t="s">
        <v>21</v>
      </c>
      <c r="L80" t="s">
        <v>3</v>
      </c>
      <c r="M80" t="s">
        <v>3</v>
      </c>
      <c r="N80" t="s">
        <v>34</v>
      </c>
      <c r="O80" t="s">
        <v>3</v>
      </c>
      <c r="P80" t="s">
        <v>79</v>
      </c>
      <c r="Q80">
        <v>107574</v>
      </c>
      <c r="R80" s="1">
        <v>0.6</v>
      </c>
      <c r="S80">
        <v>5</v>
      </c>
      <c r="T80">
        <v>25.3</v>
      </c>
      <c r="U80" t="s">
        <v>0</v>
      </c>
      <c r="V80" t="s">
        <v>7</v>
      </c>
      <c r="W80">
        <v>121</v>
      </c>
      <c r="X80">
        <v>5</v>
      </c>
      <c r="Y80" t="s">
        <v>3</v>
      </c>
      <c r="Z80">
        <v>21.1</v>
      </c>
      <c r="AA80">
        <v>11.8</v>
      </c>
      <c r="AB80" s="1">
        <v>44.075829383886258</v>
      </c>
      <c r="AC80" s="1">
        <v>0</v>
      </c>
      <c r="AD80" t="s">
        <v>28</v>
      </c>
      <c r="AE80" s="1">
        <v>0</v>
      </c>
      <c r="AF80" t="s">
        <v>4</v>
      </c>
      <c r="AG80" t="s">
        <v>0</v>
      </c>
      <c r="AH80">
        <v>4</v>
      </c>
      <c r="AI80">
        <v>1</v>
      </c>
      <c r="AJ80" t="s">
        <v>3</v>
      </c>
      <c r="AK80" t="s">
        <v>54</v>
      </c>
      <c r="AL80">
        <v>6</v>
      </c>
      <c r="AM80" t="s">
        <v>0</v>
      </c>
      <c r="AN80" t="s">
        <v>32</v>
      </c>
      <c r="AO80" s="1">
        <v>50.2</v>
      </c>
      <c r="AP80" s="1">
        <v>73</v>
      </c>
      <c r="AQ80">
        <v>41</v>
      </c>
      <c r="AR80">
        <v>80.7</v>
      </c>
      <c r="AS80" t="s">
        <v>0</v>
      </c>
    </row>
    <row r="81" spans="1:45" x14ac:dyDescent="0.35">
      <c r="A81" t="s">
        <v>222</v>
      </c>
      <c r="B81" t="s">
        <v>221</v>
      </c>
      <c r="C81" t="s">
        <v>197</v>
      </c>
      <c r="D81" t="s">
        <v>196</v>
      </c>
      <c r="E81" t="s">
        <v>13</v>
      </c>
      <c r="F81" t="s">
        <v>220</v>
      </c>
      <c r="G81">
        <v>27</v>
      </c>
      <c r="H81">
        <v>21</v>
      </c>
      <c r="I81" t="s">
        <v>22</v>
      </c>
      <c r="J81" t="s">
        <v>10</v>
      </c>
      <c r="K81" t="s">
        <v>21</v>
      </c>
      <c r="L81" t="s">
        <v>3</v>
      </c>
      <c r="M81" t="s">
        <v>0</v>
      </c>
      <c r="N81" t="s">
        <v>8</v>
      </c>
      <c r="O81" t="s">
        <v>3</v>
      </c>
      <c r="P81" t="s">
        <v>79</v>
      </c>
      <c r="Q81">
        <v>70868</v>
      </c>
      <c r="R81" s="1">
        <v>13.4</v>
      </c>
      <c r="S81">
        <v>5</v>
      </c>
      <c r="T81">
        <v>23.2</v>
      </c>
      <c r="U81" t="s">
        <v>3</v>
      </c>
      <c r="V81" t="s">
        <v>0</v>
      </c>
      <c r="W81">
        <v>11</v>
      </c>
      <c r="X81">
        <v>6</v>
      </c>
      <c r="Y81" t="s">
        <v>0</v>
      </c>
      <c r="Z81">
        <v>26.38</v>
      </c>
      <c r="AA81">
        <v>13.66</v>
      </c>
      <c r="AB81" s="1">
        <v>48.218347232752087</v>
      </c>
      <c r="AC81" s="1">
        <v>118560</v>
      </c>
      <c r="AD81" t="s">
        <v>49</v>
      </c>
      <c r="AE81" s="1">
        <v>6.3418099482800153E-2</v>
      </c>
      <c r="AF81" t="s">
        <v>4</v>
      </c>
      <c r="AG81" t="s">
        <v>0</v>
      </c>
      <c r="AH81">
        <v>0</v>
      </c>
      <c r="AI81">
        <v>2</v>
      </c>
      <c r="AJ81" t="s">
        <v>0</v>
      </c>
      <c r="AK81" t="s">
        <v>18</v>
      </c>
      <c r="AL81">
        <v>0</v>
      </c>
      <c r="AM81" t="s">
        <v>0</v>
      </c>
      <c r="AN81" t="s">
        <v>1</v>
      </c>
      <c r="AO81" s="1">
        <v>38.299999999999997</v>
      </c>
      <c r="AP81" s="1">
        <v>44</v>
      </c>
      <c r="AQ81">
        <v>32.4</v>
      </c>
      <c r="AR81">
        <v>42.2</v>
      </c>
      <c r="AS81" t="s">
        <v>3</v>
      </c>
    </row>
    <row r="82" spans="1:45" x14ac:dyDescent="0.35">
      <c r="A82" t="s">
        <v>219</v>
      </c>
      <c r="B82" t="s">
        <v>218</v>
      </c>
      <c r="C82" t="s">
        <v>197</v>
      </c>
      <c r="D82" t="s">
        <v>204</v>
      </c>
      <c r="E82" t="s">
        <v>24</v>
      </c>
      <c r="F82" t="s">
        <v>202</v>
      </c>
      <c r="G82">
        <v>11</v>
      </c>
      <c r="H82">
        <v>24</v>
      </c>
      <c r="I82" t="s">
        <v>22</v>
      </c>
      <c r="J82" t="s">
        <v>29</v>
      </c>
      <c r="K82" t="s">
        <v>21</v>
      </c>
      <c r="L82" t="s">
        <v>0</v>
      </c>
      <c r="M82" t="s">
        <v>0</v>
      </c>
      <c r="N82" t="s">
        <v>34</v>
      </c>
      <c r="O82" t="s">
        <v>0</v>
      </c>
      <c r="P82" t="s">
        <v>42</v>
      </c>
      <c r="Q82">
        <v>132490</v>
      </c>
      <c r="R82" s="1">
        <v>21.8</v>
      </c>
      <c r="S82">
        <v>1</v>
      </c>
      <c r="T82">
        <v>39.299999999999997</v>
      </c>
      <c r="U82" t="s">
        <v>3</v>
      </c>
      <c r="V82" t="s">
        <v>3</v>
      </c>
      <c r="W82">
        <v>231</v>
      </c>
      <c r="X82">
        <v>3</v>
      </c>
      <c r="Y82" t="s">
        <v>3</v>
      </c>
      <c r="Z82">
        <v>22.25</v>
      </c>
      <c r="AA82">
        <v>13.53</v>
      </c>
      <c r="AB82" s="1">
        <v>39.19101123595506</v>
      </c>
      <c r="AC82" s="1">
        <v>169112</v>
      </c>
      <c r="AD82" t="s">
        <v>65</v>
      </c>
      <c r="AE82" s="1">
        <v>5.7366890526399705E-2</v>
      </c>
      <c r="AF82" t="s">
        <v>33</v>
      </c>
      <c r="AG82" t="s">
        <v>0</v>
      </c>
      <c r="AH82">
        <v>2</v>
      </c>
      <c r="AI82">
        <v>0</v>
      </c>
      <c r="AJ82" t="s">
        <v>0</v>
      </c>
      <c r="AK82" t="s">
        <v>18</v>
      </c>
      <c r="AL82">
        <v>30</v>
      </c>
      <c r="AM82" t="s">
        <v>3</v>
      </c>
      <c r="AN82" t="s">
        <v>1</v>
      </c>
      <c r="AO82" s="1">
        <v>13.6</v>
      </c>
      <c r="AP82" s="1">
        <v>69.599999999999994</v>
      </c>
      <c r="AQ82">
        <v>44.6</v>
      </c>
      <c r="AR82">
        <v>41.7</v>
      </c>
      <c r="AS82" t="s">
        <v>3</v>
      </c>
    </row>
    <row r="83" spans="1:45" x14ac:dyDescent="0.35">
      <c r="A83" t="s">
        <v>217</v>
      </c>
      <c r="B83" t="s">
        <v>216</v>
      </c>
      <c r="C83" t="s">
        <v>197</v>
      </c>
      <c r="D83" t="s">
        <v>215</v>
      </c>
      <c r="E83" t="s">
        <v>13</v>
      </c>
      <c r="F83" t="s">
        <v>195</v>
      </c>
      <c r="G83">
        <v>21</v>
      </c>
      <c r="H83">
        <v>12</v>
      </c>
      <c r="I83" t="s">
        <v>11</v>
      </c>
      <c r="J83" t="s">
        <v>35</v>
      </c>
      <c r="K83" t="s">
        <v>9</v>
      </c>
      <c r="L83" t="s">
        <v>0</v>
      </c>
      <c r="M83" t="s">
        <v>3</v>
      </c>
      <c r="N83" t="s">
        <v>20</v>
      </c>
      <c r="O83" t="s">
        <v>0</v>
      </c>
      <c r="P83" t="s">
        <v>6</v>
      </c>
      <c r="Q83">
        <v>84066</v>
      </c>
      <c r="S83">
        <v>2</v>
      </c>
      <c r="T83">
        <v>39</v>
      </c>
      <c r="U83" t="s">
        <v>3</v>
      </c>
      <c r="V83" t="s">
        <v>0</v>
      </c>
      <c r="W83">
        <v>181</v>
      </c>
      <c r="X83">
        <v>2</v>
      </c>
      <c r="Y83" t="s">
        <v>0</v>
      </c>
      <c r="Z83">
        <v>16.09</v>
      </c>
      <c r="AA83">
        <v>10.98</v>
      </c>
      <c r="AB83" s="1">
        <v>31.758856432566805</v>
      </c>
      <c r="AC83" s="1">
        <v>21960</v>
      </c>
      <c r="AD83" t="s">
        <v>19</v>
      </c>
      <c r="AE83" s="1">
        <v>1.6235135147963074E-2</v>
      </c>
      <c r="AF83" t="s">
        <v>4</v>
      </c>
      <c r="AG83" t="s">
        <v>0</v>
      </c>
      <c r="AH83">
        <v>1</v>
      </c>
      <c r="AI83">
        <v>2</v>
      </c>
      <c r="AJ83" t="s">
        <v>3</v>
      </c>
      <c r="AK83" t="s">
        <v>54</v>
      </c>
      <c r="AL83">
        <v>10</v>
      </c>
      <c r="AM83" t="s">
        <v>0</v>
      </c>
      <c r="AN83" t="s">
        <v>32</v>
      </c>
      <c r="AO83" s="1">
        <v>47.4</v>
      </c>
      <c r="AP83" s="1">
        <v>19.3</v>
      </c>
      <c r="AQ83">
        <v>12.8</v>
      </c>
      <c r="AR83">
        <v>88.1</v>
      </c>
      <c r="AS83" t="s">
        <v>3</v>
      </c>
    </row>
    <row r="84" spans="1:45" x14ac:dyDescent="0.35">
      <c r="A84" t="s">
        <v>214</v>
      </c>
      <c r="B84" t="s">
        <v>150</v>
      </c>
      <c r="C84" t="s">
        <v>197</v>
      </c>
      <c r="D84" t="s">
        <v>204</v>
      </c>
      <c r="E84" t="s">
        <v>38</v>
      </c>
      <c r="F84" t="s">
        <v>195</v>
      </c>
      <c r="G84">
        <v>19</v>
      </c>
      <c r="H84">
        <v>11</v>
      </c>
      <c r="I84" t="s">
        <v>11</v>
      </c>
      <c r="J84" t="s">
        <v>61</v>
      </c>
      <c r="K84" t="s">
        <v>21</v>
      </c>
      <c r="L84" t="s">
        <v>3</v>
      </c>
      <c r="M84" t="s">
        <v>3</v>
      </c>
      <c r="N84" t="s">
        <v>20</v>
      </c>
      <c r="O84" t="s">
        <v>0</v>
      </c>
      <c r="P84" t="s">
        <v>50</v>
      </c>
      <c r="Q84">
        <v>146679</v>
      </c>
      <c r="R84" s="1">
        <v>30.6</v>
      </c>
      <c r="S84">
        <v>3</v>
      </c>
      <c r="T84">
        <v>29</v>
      </c>
      <c r="U84" t="s">
        <v>3</v>
      </c>
      <c r="V84" t="s">
        <v>3</v>
      </c>
      <c r="W84">
        <v>60</v>
      </c>
      <c r="X84">
        <v>4</v>
      </c>
      <c r="Y84" t="s">
        <v>3</v>
      </c>
      <c r="Z84">
        <v>44.55</v>
      </c>
      <c r="AA84">
        <v>27.01</v>
      </c>
      <c r="AB84" s="1">
        <v>39.371492704826032</v>
      </c>
      <c r="AC84" s="1">
        <v>0</v>
      </c>
      <c r="AD84" t="s">
        <v>28</v>
      </c>
      <c r="AE84" s="1">
        <v>0</v>
      </c>
      <c r="AF84" t="s">
        <v>134</v>
      </c>
      <c r="AG84" t="s">
        <v>0</v>
      </c>
      <c r="AH84">
        <v>2</v>
      </c>
      <c r="AI84">
        <v>1</v>
      </c>
      <c r="AJ84" t="s">
        <v>0</v>
      </c>
      <c r="AK84" t="s">
        <v>2</v>
      </c>
      <c r="AL84">
        <v>16</v>
      </c>
      <c r="AM84" t="s">
        <v>0</v>
      </c>
      <c r="AN84" t="s">
        <v>1</v>
      </c>
      <c r="AO84" s="1">
        <v>66.099999999999994</v>
      </c>
      <c r="AP84" s="1">
        <v>57.7</v>
      </c>
      <c r="AQ84">
        <v>37.5</v>
      </c>
      <c r="AR84">
        <v>79.3</v>
      </c>
      <c r="AS84" t="s">
        <v>0</v>
      </c>
    </row>
    <row r="85" spans="1:45" x14ac:dyDescent="0.35">
      <c r="A85" t="s">
        <v>213</v>
      </c>
      <c r="B85" t="s">
        <v>96</v>
      </c>
      <c r="C85" t="s">
        <v>197</v>
      </c>
      <c r="D85" t="s">
        <v>204</v>
      </c>
      <c r="E85" t="s">
        <v>24</v>
      </c>
      <c r="F85" t="s">
        <v>186</v>
      </c>
      <c r="G85">
        <v>22</v>
      </c>
      <c r="H85">
        <v>39</v>
      </c>
      <c r="I85" t="s">
        <v>22</v>
      </c>
      <c r="J85" t="s">
        <v>29</v>
      </c>
      <c r="K85" t="s">
        <v>9</v>
      </c>
      <c r="L85" t="s">
        <v>0</v>
      </c>
      <c r="M85" t="s">
        <v>3</v>
      </c>
      <c r="N85" t="s">
        <v>8</v>
      </c>
      <c r="O85" t="s">
        <v>0</v>
      </c>
      <c r="P85" t="s">
        <v>72</v>
      </c>
      <c r="Q85">
        <v>59347</v>
      </c>
      <c r="R85" s="1">
        <v>30.7</v>
      </c>
      <c r="S85">
        <v>5</v>
      </c>
      <c r="T85">
        <v>19.5</v>
      </c>
      <c r="U85" t="s">
        <v>3</v>
      </c>
      <c r="V85" t="s">
        <v>3</v>
      </c>
      <c r="W85">
        <v>137</v>
      </c>
      <c r="X85">
        <v>6</v>
      </c>
      <c r="Y85" t="s">
        <v>0</v>
      </c>
      <c r="Z85">
        <v>35.75</v>
      </c>
      <c r="AA85">
        <v>15.13</v>
      </c>
      <c r="AB85" s="1">
        <v>57.678321678321673</v>
      </c>
      <c r="AC85" s="1">
        <v>0</v>
      </c>
      <c r="AD85" t="s">
        <v>28</v>
      </c>
      <c r="AE85" s="1">
        <v>0</v>
      </c>
      <c r="AF85" t="s">
        <v>129</v>
      </c>
      <c r="AG85" t="s">
        <v>3</v>
      </c>
      <c r="AH85">
        <v>2</v>
      </c>
      <c r="AI85">
        <v>1</v>
      </c>
      <c r="AJ85" t="s">
        <v>0</v>
      </c>
      <c r="AK85" t="s">
        <v>2</v>
      </c>
      <c r="AL85">
        <v>14</v>
      </c>
      <c r="AM85" t="s">
        <v>3</v>
      </c>
      <c r="AN85" t="s">
        <v>1</v>
      </c>
      <c r="AO85" s="1">
        <v>58.6</v>
      </c>
      <c r="AP85" s="1">
        <v>42.5</v>
      </c>
      <c r="AQ85">
        <v>10.3</v>
      </c>
      <c r="AR85">
        <v>43.2</v>
      </c>
      <c r="AS85" t="s">
        <v>0</v>
      </c>
    </row>
    <row r="86" spans="1:45" x14ac:dyDescent="0.35">
      <c r="A86" t="s">
        <v>212</v>
      </c>
      <c r="B86" t="s">
        <v>211</v>
      </c>
      <c r="C86" t="s">
        <v>197</v>
      </c>
      <c r="D86" t="s">
        <v>196</v>
      </c>
      <c r="E86" t="s">
        <v>24</v>
      </c>
      <c r="F86" t="s">
        <v>186</v>
      </c>
      <c r="G86">
        <v>7</v>
      </c>
      <c r="H86">
        <v>26</v>
      </c>
      <c r="I86" t="s">
        <v>22</v>
      </c>
      <c r="J86" t="s">
        <v>61</v>
      </c>
      <c r="K86" t="s">
        <v>21</v>
      </c>
      <c r="L86" t="s">
        <v>3</v>
      </c>
      <c r="M86" t="s">
        <v>3</v>
      </c>
      <c r="N86" t="s">
        <v>8</v>
      </c>
      <c r="O86" t="s">
        <v>0</v>
      </c>
      <c r="P86" t="s">
        <v>42</v>
      </c>
      <c r="Q86">
        <v>38772</v>
      </c>
      <c r="R86" s="1">
        <v>-1</v>
      </c>
      <c r="S86">
        <v>2</v>
      </c>
      <c r="T86">
        <v>34.5</v>
      </c>
      <c r="U86" t="s">
        <v>3</v>
      </c>
      <c r="V86" t="s">
        <v>0</v>
      </c>
      <c r="W86">
        <v>95</v>
      </c>
      <c r="X86">
        <v>3</v>
      </c>
      <c r="Y86" t="s">
        <v>0</v>
      </c>
      <c r="Z86">
        <v>6.18</v>
      </c>
      <c r="AA86">
        <v>2.84</v>
      </c>
      <c r="AB86" s="1">
        <v>54.045307443365701</v>
      </c>
      <c r="AC86" s="1">
        <v>0</v>
      </c>
      <c r="AD86" t="s">
        <v>28</v>
      </c>
      <c r="AE86" s="1">
        <v>0</v>
      </c>
      <c r="AF86" t="s">
        <v>118</v>
      </c>
      <c r="AG86" t="s">
        <v>0</v>
      </c>
      <c r="AH86">
        <v>3</v>
      </c>
      <c r="AI86">
        <v>0</v>
      </c>
      <c r="AJ86" t="s">
        <v>3</v>
      </c>
      <c r="AK86" t="s">
        <v>2</v>
      </c>
      <c r="AL86">
        <v>17</v>
      </c>
      <c r="AM86" t="s">
        <v>3</v>
      </c>
      <c r="AN86" t="s">
        <v>1</v>
      </c>
      <c r="AO86" s="1">
        <v>96.5</v>
      </c>
      <c r="AP86" s="1">
        <v>36.799999999999997</v>
      </c>
      <c r="AQ86">
        <v>6.7</v>
      </c>
      <c r="AR86">
        <v>52</v>
      </c>
      <c r="AS86" t="s">
        <v>0</v>
      </c>
    </row>
    <row r="87" spans="1:45" x14ac:dyDescent="0.35">
      <c r="A87" t="s">
        <v>210</v>
      </c>
      <c r="B87" t="s">
        <v>209</v>
      </c>
      <c r="C87" t="s">
        <v>197</v>
      </c>
      <c r="D87" t="s">
        <v>196</v>
      </c>
      <c r="E87" t="s">
        <v>24</v>
      </c>
      <c r="F87" t="s">
        <v>186</v>
      </c>
      <c r="G87">
        <v>5</v>
      </c>
      <c r="H87">
        <v>11</v>
      </c>
      <c r="I87" t="s">
        <v>22</v>
      </c>
      <c r="J87" t="s">
        <v>61</v>
      </c>
      <c r="K87" t="s">
        <v>21</v>
      </c>
      <c r="L87" t="s">
        <v>0</v>
      </c>
      <c r="M87" t="s">
        <v>3</v>
      </c>
      <c r="N87" t="s">
        <v>55</v>
      </c>
      <c r="O87" t="s">
        <v>0</v>
      </c>
      <c r="P87" t="s">
        <v>72</v>
      </c>
      <c r="Q87">
        <v>60123</v>
      </c>
      <c r="R87" s="1">
        <v>-10</v>
      </c>
      <c r="S87">
        <v>1</v>
      </c>
      <c r="T87">
        <v>22.5</v>
      </c>
      <c r="U87" t="s">
        <v>3</v>
      </c>
      <c r="V87" t="s">
        <v>0</v>
      </c>
      <c r="W87">
        <v>273</v>
      </c>
      <c r="X87">
        <v>3</v>
      </c>
      <c r="Y87" t="s">
        <v>3</v>
      </c>
      <c r="Z87">
        <v>32.78</v>
      </c>
      <c r="AA87">
        <v>13.23</v>
      </c>
      <c r="AB87" s="1">
        <v>59.640024405125082</v>
      </c>
      <c r="AC87" s="1">
        <v>0</v>
      </c>
      <c r="AD87" t="s">
        <v>28</v>
      </c>
      <c r="AE87" s="1">
        <v>0</v>
      </c>
      <c r="AF87" t="s">
        <v>33</v>
      </c>
      <c r="AG87" t="s">
        <v>0</v>
      </c>
      <c r="AH87">
        <v>1</v>
      </c>
      <c r="AI87">
        <v>3</v>
      </c>
      <c r="AJ87" t="s">
        <v>3</v>
      </c>
      <c r="AK87" t="s">
        <v>2</v>
      </c>
      <c r="AL87">
        <v>11</v>
      </c>
      <c r="AM87" t="s">
        <v>7</v>
      </c>
      <c r="AN87" t="s">
        <v>48</v>
      </c>
      <c r="AO87" s="1">
        <v>73.400000000000006</v>
      </c>
      <c r="AP87" s="1">
        <v>51.3</v>
      </c>
      <c r="AQ87">
        <v>12.6</v>
      </c>
      <c r="AR87">
        <v>62</v>
      </c>
      <c r="AS87" t="s">
        <v>0</v>
      </c>
    </row>
    <row r="88" spans="1:45" x14ac:dyDescent="0.35">
      <c r="A88" t="s">
        <v>208</v>
      </c>
      <c r="B88" t="s">
        <v>207</v>
      </c>
      <c r="C88" t="s">
        <v>197</v>
      </c>
      <c r="D88" t="s">
        <v>206</v>
      </c>
      <c r="E88" t="s">
        <v>24</v>
      </c>
      <c r="F88" t="s">
        <v>186</v>
      </c>
      <c r="G88">
        <v>14</v>
      </c>
      <c r="H88">
        <v>33</v>
      </c>
      <c r="I88" t="s">
        <v>22</v>
      </c>
      <c r="J88" t="s">
        <v>10</v>
      </c>
      <c r="K88" t="s">
        <v>9</v>
      </c>
      <c r="L88" t="s">
        <v>0</v>
      </c>
      <c r="M88" t="s">
        <v>3</v>
      </c>
      <c r="N88" t="s">
        <v>34</v>
      </c>
      <c r="O88" t="s">
        <v>3</v>
      </c>
      <c r="P88" t="s">
        <v>72</v>
      </c>
      <c r="Q88">
        <v>53126</v>
      </c>
      <c r="R88" s="1">
        <v>8.5</v>
      </c>
      <c r="S88">
        <v>2</v>
      </c>
      <c r="T88">
        <v>20.100000000000001</v>
      </c>
      <c r="U88" t="s">
        <v>0</v>
      </c>
      <c r="V88" t="s">
        <v>3</v>
      </c>
      <c r="W88">
        <v>9</v>
      </c>
      <c r="X88">
        <v>3</v>
      </c>
      <c r="Y88" t="s">
        <v>3</v>
      </c>
      <c r="Z88">
        <v>9.94</v>
      </c>
      <c r="AA88">
        <v>5.55</v>
      </c>
      <c r="AB88" s="1">
        <v>44.164989939637827</v>
      </c>
      <c r="AC88" s="1">
        <v>560581</v>
      </c>
      <c r="AD88" t="s">
        <v>49</v>
      </c>
      <c r="AE88" s="1">
        <v>1.0615607964695148</v>
      </c>
      <c r="AF88" t="s">
        <v>33</v>
      </c>
      <c r="AG88" t="s">
        <v>0</v>
      </c>
      <c r="AH88">
        <v>2</v>
      </c>
      <c r="AI88">
        <v>0</v>
      </c>
      <c r="AJ88" t="s">
        <v>3</v>
      </c>
      <c r="AK88" t="s">
        <v>2</v>
      </c>
      <c r="AL88">
        <v>15</v>
      </c>
      <c r="AM88" t="s">
        <v>3</v>
      </c>
      <c r="AN88" t="s">
        <v>1</v>
      </c>
      <c r="AO88" s="1">
        <v>83.1</v>
      </c>
      <c r="AP88" s="1">
        <v>78.099999999999994</v>
      </c>
      <c r="AQ88">
        <v>21.1</v>
      </c>
      <c r="AR88">
        <v>64.599999999999994</v>
      </c>
      <c r="AS88" t="s">
        <v>3</v>
      </c>
    </row>
    <row r="89" spans="1:45" x14ac:dyDescent="0.35">
      <c r="A89" t="s">
        <v>205</v>
      </c>
      <c r="B89" t="s">
        <v>70</v>
      </c>
      <c r="C89" t="s">
        <v>197</v>
      </c>
      <c r="D89" t="s">
        <v>204</v>
      </c>
      <c r="E89" t="s">
        <v>203</v>
      </c>
      <c r="F89" t="s">
        <v>202</v>
      </c>
      <c r="G89">
        <v>5</v>
      </c>
      <c r="I89" t="s">
        <v>11</v>
      </c>
      <c r="J89" t="s">
        <v>10</v>
      </c>
      <c r="K89" t="s">
        <v>21</v>
      </c>
      <c r="L89" t="s">
        <v>0</v>
      </c>
      <c r="M89" t="s">
        <v>0</v>
      </c>
      <c r="N89" t="s">
        <v>20</v>
      </c>
      <c r="O89" t="s">
        <v>0</v>
      </c>
      <c r="P89" t="s">
        <v>6</v>
      </c>
      <c r="Q89">
        <v>104454</v>
      </c>
      <c r="R89" s="1">
        <v>-6.1</v>
      </c>
      <c r="S89">
        <v>3</v>
      </c>
      <c r="T89">
        <v>21.6</v>
      </c>
      <c r="U89" t="s">
        <v>3</v>
      </c>
      <c r="V89" t="s">
        <v>0</v>
      </c>
      <c r="W89">
        <v>25</v>
      </c>
      <c r="X89">
        <v>3</v>
      </c>
      <c r="Y89" t="s">
        <v>3</v>
      </c>
      <c r="Z89">
        <v>32.39</v>
      </c>
      <c r="AA89">
        <v>16.86</v>
      </c>
      <c r="AB89" s="1">
        <v>47.946897190490894</v>
      </c>
      <c r="AC89" s="1">
        <v>680997</v>
      </c>
      <c r="AD89" t="s">
        <v>49</v>
      </c>
      <c r="AE89" s="1">
        <v>0.20128396324939435</v>
      </c>
      <c r="AF89" t="s">
        <v>4</v>
      </c>
      <c r="AG89" t="s">
        <v>0</v>
      </c>
      <c r="AH89">
        <v>1</v>
      </c>
      <c r="AI89">
        <v>2</v>
      </c>
      <c r="AJ89" t="s">
        <v>3</v>
      </c>
      <c r="AK89" t="s">
        <v>2</v>
      </c>
      <c r="AL89">
        <v>22</v>
      </c>
      <c r="AM89" t="s">
        <v>0</v>
      </c>
      <c r="AN89" t="s">
        <v>32</v>
      </c>
      <c r="AO89" s="1">
        <v>37.299999999999997</v>
      </c>
      <c r="AP89" s="1">
        <v>34</v>
      </c>
      <c r="AQ89">
        <v>10.1</v>
      </c>
      <c r="AR89">
        <v>64</v>
      </c>
      <c r="AS89" t="s">
        <v>0</v>
      </c>
    </row>
    <row r="90" spans="1:45" x14ac:dyDescent="0.35">
      <c r="A90" t="s">
        <v>201</v>
      </c>
      <c r="B90" t="s">
        <v>200</v>
      </c>
      <c r="C90" t="s">
        <v>197</v>
      </c>
      <c r="D90" t="s">
        <v>196</v>
      </c>
      <c r="E90" t="s">
        <v>13</v>
      </c>
      <c r="F90" t="s">
        <v>186</v>
      </c>
      <c r="G90">
        <v>19</v>
      </c>
      <c r="H90">
        <v>35</v>
      </c>
      <c r="I90" t="s">
        <v>22</v>
      </c>
      <c r="J90" t="s">
        <v>35</v>
      </c>
      <c r="K90" t="s">
        <v>9</v>
      </c>
      <c r="L90" t="s">
        <v>3</v>
      </c>
      <c r="M90" t="s">
        <v>0</v>
      </c>
      <c r="N90" t="s">
        <v>34</v>
      </c>
      <c r="O90" t="s">
        <v>3</v>
      </c>
      <c r="P90" t="s">
        <v>72</v>
      </c>
      <c r="Q90">
        <v>69774</v>
      </c>
      <c r="R90" s="1">
        <v>26.7</v>
      </c>
      <c r="S90">
        <v>5</v>
      </c>
      <c r="T90">
        <v>15.7</v>
      </c>
      <c r="U90" t="s">
        <v>0</v>
      </c>
      <c r="V90" t="s">
        <v>7</v>
      </c>
      <c r="W90">
        <v>71</v>
      </c>
      <c r="X90">
        <v>4</v>
      </c>
      <c r="Y90" t="s">
        <v>0</v>
      </c>
      <c r="Z90">
        <v>10.4</v>
      </c>
      <c r="AA90">
        <v>5.35</v>
      </c>
      <c r="AB90" s="1">
        <v>48.557692307692314</v>
      </c>
      <c r="AC90" s="1">
        <v>209290</v>
      </c>
      <c r="AD90" t="s">
        <v>65</v>
      </c>
      <c r="AE90" s="1">
        <v>0.28841744004268727</v>
      </c>
      <c r="AF90" t="s">
        <v>4</v>
      </c>
      <c r="AG90" t="s">
        <v>0</v>
      </c>
      <c r="AH90">
        <v>4</v>
      </c>
      <c r="AI90">
        <v>1</v>
      </c>
      <c r="AJ90" t="s">
        <v>3</v>
      </c>
      <c r="AK90" t="s">
        <v>2</v>
      </c>
      <c r="AL90">
        <v>16</v>
      </c>
      <c r="AM90" t="s">
        <v>0</v>
      </c>
      <c r="AN90" t="s">
        <v>32</v>
      </c>
      <c r="AP90" s="1">
        <v>60.9</v>
      </c>
      <c r="AQ90">
        <v>26.7</v>
      </c>
      <c r="AR90">
        <v>79.8</v>
      </c>
      <c r="AS90" t="s">
        <v>0</v>
      </c>
    </row>
    <row r="91" spans="1:45" x14ac:dyDescent="0.35">
      <c r="A91" t="s">
        <v>199</v>
      </c>
      <c r="B91" t="s">
        <v>198</v>
      </c>
      <c r="C91" t="s">
        <v>197</v>
      </c>
      <c r="D91" t="s">
        <v>196</v>
      </c>
      <c r="E91" t="s">
        <v>38</v>
      </c>
      <c r="F91" t="s">
        <v>195</v>
      </c>
      <c r="G91">
        <v>2</v>
      </c>
      <c r="H91">
        <v>37</v>
      </c>
      <c r="I91" t="s">
        <v>22</v>
      </c>
      <c r="J91" t="s">
        <v>61</v>
      </c>
      <c r="K91" t="s">
        <v>21</v>
      </c>
      <c r="L91" t="s">
        <v>3</v>
      </c>
      <c r="M91" t="s">
        <v>3</v>
      </c>
      <c r="N91" t="s">
        <v>34</v>
      </c>
      <c r="O91" t="s">
        <v>3</v>
      </c>
      <c r="P91" t="s">
        <v>50</v>
      </c>
      <c r="Q91">
        <v>69628</v>
      </c>
      <c r="R91" s="1">
        <v>4.2</v>
      </c>
      <c r="S91">
        <v>2</v>
      </c>
      <c r="T91">
        <v>17</v>
      </c>
      <c r="U91" t="s">
        <v>3</v>
      </c>
      <c r="V91" t="s">
        <v>7</v>
      </c>
      <c r="W91">
        <v>50</v>
      </c>
      <c r="X91">
        <v>4</v>
      </c>
      <c r="Y91" t="s">
        <v>3</v>
      </c>
      <c r="Z91">
        <v>10.63</v>
      </c>
      <c r="AA91">
        <v>5.84</v>
      </c>
      <c r="AB91" s="1">
        <v>45.061147695202266</v>
      </c>
      <c r="AC91" s="1">
        <v>0</v>
      </c>
      <c r="AD91" t="s">
        <v>28</v>
      </c>
      <c r="AE91" s="1">
        <v>0</v>
      </c>
      <c r="AF91" t="s">
        <v>7</v>
      </c>
      <c r="AG91" t="s">
        <v>0</v>
      </c>
      <c r="AH91">
        <v>4</v>
      </c>
      <c r="AI91">
        <v>0</v>
      </c>
      <c r="AJ91" t="s">
        <v>3</v>
      </c>
      <c r="AK91" t="s">
        <v>2</v>
      </c>
      <c r="AL91">
        <v>20</v>
      </c>
      <c r="AM91" t="s">
        <v>0</v>
      </c>
      <c r="AN91" t="s">
        <v>1</v>
      </c>
      <c r="AO91" s="1">
        <v>89</v>
      </c>
      <c r="AP91" s="1">
        <v>49.4</v>
      </c>
      <c r="AQ91">
        <v>34.5</v>
      </c>
      <c r="AR91">
        <v>67.400000000000006</v>
      </c>
      <c r="AS91" t="s">
        <v>3</v>
      </c>
    </row>
    <row r="92" spans="1:45" x14ac:dyDescent="0.35">
      <c r="A92" t="s">
        <v>194</v>
      </c>
      <c r="B92" t="s">
        <v>193</v>
      </c>
      <c r="C92" t="s">
        <v>160</v>
      </c>
      <c r="D92" t="s">
        <v>159</v>
      </c>
      <c r="E92" t="s">
        <v>38</v>
      </c>
      <c r="F92" t="s">
        <v>166</v>
      </c>
      <c r="G92">
        <v>25</v>
      </c>
      <c r="H92">
        <v>19</v>
      </c>
      <c r="I92" t="s">
        <v>11</v>
      </c>
      <c r="J92" t="s">
        <v>29</v>
      </c>
      <c r="K92" t="s">
        <v>21</v>
      </c>
      <c r="L92" t="s">
        <v>0</v>
      </c>
      <c r="M92" t="s">
        <v>3</v>
      </c>
      <c r="N92" t="s">
        <v>34</v>
      </c>
      <c r="O92" t="s">
        <v>3</v>
      </c>
      <c r="P92" t="s">
        <v>6</v>
      </c>
      <c r="Q92">
        <v>128774</v>
      </c>
      <c r="R92" s="1">
        <v>18</v>
      </c>
      <c r="S92">
        <v>3</v>
      </c>
      <c r="T92">
        <v>28.7</v>
      </c>
      <c r="U92" t="s">
        <v>3</v>
      </c>
      <c r="V92" t="s">
        <v>3</v>
      </c>
      <c r="W92">
        <v>89</v>
      </c>
      <c r="X92">
        <v>4</v>
      </c>
      <c r="Y92" t="s">
        <v>3</v>
      </c>
      <c r="Z92">
        <v>33.96</v>
      </c>
      <c r="AA92">
        <v>21.69</v>
      </c>
      <c r="AB92" s="1">
        <v>36.130742049469958</v>
      </c>
      <c r="AC92" s="1">
        <v>488681</v>
      </c>
      <c r="AD92" t="s">
        <v>5</v>
      </c>
      <c r="AE92" s="1">
        <v>0.11174538247017542</v>
      </c>
      <c r="AF92" t="s">
        <v>118</v>
      </c>
      <c r="AG92" t="s">
        <v>0</v>
      </c>
      <c r="AH92">
        <v>1</v>
      </c>
      <c r="AI92">
        <v>2</v>
      </c>
      <c r="AJ92" t="s">
        <v>3</v>
      </c>
      <c r="AK92" t="s">
        <v>2</v>
      </c>
      <c r="AL92">
        <v>20</v>
      </c>
      <c r="AM92" t="s">
        <v>0</v>
      </c>
      <c r="AN92" t="s">
        <v>32</v>
      </c>
      <c r="AO92" s="1">
        <v>77.2</v>
      </c>
      <c r="AP92" s="1">
        <v>41.5</v>
      </c>
      <c r="AQ92">
        <v>34.6</v>
      </c>
      <c r="AR92">
        <v>97.4</v>
      </c>
      <c r="AS92" t="s">
        <v>3</v>
      </c>
    </row>
    <row r="93" spans="1:45" x14ac:dyDescent="0.35">
      <c r="A93" t="s">
        <v>192</v>
      </c>
      <c r="B93" t="s">
        <v>191</v>
      </c>
      <c r="C93" t="s">
        <v>160</v>
      </c>
      <c r="D93" t="s">
        <v>163</v>
      </c>
      <c r="E93" t="s">
        <v>38</v>
      </c>
      <c r="F93" t="s">
        <v>158</v>
      </c>
      <c r="G93">
        <v>24</v>
      </c>
      <c r="H93">
        <v>13</v>
      </c>
      <c r="I93" t="s">
        <v>11</v>
      </c>
      <c r="J93" t="s">
        <v>190</v>
      </c>
      <c r="K93" t="s">
        <v>21</v>
      </c>
      <c r="L93" t="s">
        <v>3</v>
      </c>
      <c r="M93" t="s">
        <v>0</v>
      </c>
      <c r="N93" t="s">
        <v>8</v>
      </c>
      <c r="O93" t="s">
        <v>3</v>
      </c>
      <c r="P93" t="s">
        <v>50</v>
      </c>
      <c r="Q93">
        <v>98714</v>
      </c>
      <c r="R93" s="1">
        <v>16.399999999999999</v>
      </c>
      <c r="S93">
        <v>3</v>
      </c>
      <c r="T93">
        <v>27.6</v>
      </c>
      <c r="U93" t="s">
        <v>3</v>
      </c>
      <c r="V93" t="s">
        <v>0</v>
      </c>
      <c r="W93">
        <v>132</v>
      </c>
      <c r="X93">
        <v>3</v>
      </c>
      <c r="Y93" t="s">
        <v>3</v>
      </c>
      <c r="Z93">
        <v>19.37</v>
      </c>
      <c r="AA93">
        <v>9.06</v>
      </c>
      <c r="AB93" s="1">
        <v>53.226639132679395</v>
      </c>
      <c r="AC93" s="1">
        <v>0</v>
      </c>
      <c r="AD93" t="s">
        <v>28</v>
      </c>
      <c r="AE93" s="1">
        <v>0</v>
      </c>
      <c r="AF93" t="s">
        <v>118</v>
      </c>
      <c r="AG93" t="s">
        <v>0</v>
      </c>
      <c r="AH93">
        <v>4</v>
      </c>
      <c r="AI93">
        <v>2</v>
      </c>
      <c r="AJ93" t="s">
        <v>0</v>
      </c>
      <c r="AK93" t="s">
        <v>2</v>
      </c>
      <c r="AL93">
        <v>19</v>
      </c>
      <c r="AM93" t="s">
        <v>0</v>
      </c>
      <c r="AN93" t="s">
        <v>48</v>
      </c>
      <c r="AO93" s="1">
        <v>20.100000000000001</v>
      </c>
      <c r="AP93" s="1">
        <v>53.7</v>
      </c>
      <c r="AQ93">
        <v>18.100000000000001</v>
      </c>
      <c r="AR93">
        <v>60.7</v>
      </c>
      <c r="AS93" t="s">
        <v>0</v>
      </c>
    </row>
    <row r="94" spans="1:45" x14ac:dyDescent="0.35">
      <c r="A94" t="s">
        <v>189</v>
      </c>
      <c r="B94" t="s">
        <v>188</v>
      </c>
      <c r="C94" t="s">
        <v>160</v>
      </c>
      <c r="D94" t="s">
        <v>167</v>
      </c>
      <c r="E94" t="s">
        <v>38</v>
      </c>
      <c r="F94" t="s">
        <v>56</v>
      </c>
      <c r="G94">
        <v>28</v>
      </c>
      <c r="H94">
        <v>32</v>
      </c>
      <c r="I94" t="s">
        <v>11</v>
      </c>
      <c r="J94" t="s">
        <v>61</v>
      </c>
      <c r="K94" t="s">
        <v>21</v>
      </c>
      <c r="L94" t="s">
        <v>0</v>
      </c>
      <c r="M94" t="s">
        <v>3</v>
      </c>
      <c r="N94" t="s">
        <v>34</v>
      </c>
      <c r="O94" t="s">
        <v>3</v>
      </c>
      <c r="P94" t="s">
        <v>79</v>
      </c>
      <c r="Q94">
        <v>23312</v>
      </c>
      <c r="R94" s="1">
        <v>2.9</v>
      </c>
      <c r="S94">
        <v>1</v>
      </c>
      <c r="T94">
        <v>31.8</v>
      </c>
      <c r="U94" t="s">
        <v>3</v>
      </c>
      <c r="V94" t="s">
        <v>7</v>
      </c>
      <c r="W94">
        <v>87</v>
      </c>
      <c r="X94">
        <v>3</v>
      </c>
      <c r="Y94" t="s">
        <v>0</v>
      </c>
      <c r="Z94">
        <v>11.71</v>
      </c>
      <c r="AA94">
        <v>4.3899999999999997</v>
      </c>
      <c r="AB94" s="1">
        <v>62.510674637062344</v>
      </c>
      <c r="AC94" s="1">
        <v>0</v>
      </c>
      <c r="AD94" t="s">
        <v>28</v>
      </c>
      <c r="AE94" s="1">
        <v>0</v>
      </c>
      <c r="AF94" t="s">
        <v>118</v>
      </c>
      <c r="AG94" t="s">
        <v>0</v>
      </c>
      <c r="AH94">
        <v>2</v>
      </c>
      <c r="AI94">
        <v>3</v>
      </c>
      <c r="AJ94" t="s">
        <v>0</v>
      </c>
      <c r="AK94" t="s">
        <v>2</v>
      </c>
      <c r="AL94">
        <v>17</v>
      </c>
      <c r="AM94" t="s">
        <v>0</v>
      </c>
      <c r="AN94" t="s">
        <v>48</v>
      </c>
      <c r="AO94" s="1">
        <v>74.2</v>
      </c>
      <c r="AP94" s="1">
        <v>49.3</v>
      </c>
      <c r="AQ94">
        <v>15.7</v>
      </c>
      <c r="AR94">
        <v>87.1</v>
      </c>
      <c r="AS94" t="s">
        <v>0</v>
      </c>
    </row>
    <row r="95" spans="1:45" x14ac:dyDescent="0.35">
      <c r="A95" t="s">
        <v>187</v>
      </c>
      <c r="B95" t="s">
        <v>176</v>
      </c>
      <c r="C95" t="s">
        <v>160</v>
      </c>
      <c r="D95" t="s">
        <v>159</v>
      </c>
      <c r="E95" t="s">
        <v>38</v>
      </c>
      <c r="F95" t="s">
        <v>186</v>
      </c>
      <c r="G95">
        <v>27</v>
      </c>
      <c r="H95">
        <v>19</v>
      </c>
      <c r="I95" t="s">
        <v>22</v>
      </c>
      <c r="J95" t="s">
        <v>61</v>
      </c>
      <c r="K95" t="s">
        <v>21</v>
      </c>
      <c r="L95" t="s">
        <v>0</v>
      </c>
      <c r="M95" t="s">
        <v>3</v>
      </c>
      <c r="N95" t="s">
        <v>34</v>
      </c>
      <c r="O95" t="s">
        <v>3</v>
      </c>
      <c r="P95" t="s">
        <v>72</v>
      </c>
      <c r="Q95">
        <v>116790</v>
      </c>
      <c r="R95" s="1">
        <v>16.2</v>
      </c>
      <c r="S95">
        <v>2</v>
      </c>
      <c r="T95">
        <v>22.4</v>
      </c>
      <c r="U95" t="s">
        <v>3</v>
      </c>
      <c r="V95" t="s">
        <v>0</v>
      </c>
      <c r="W95">
        <v>100</v>
      </c>
      <c r="X95">
        <v>2</v>
      </c>
      <c r="Y95" t="s">
        <v>0</v>
      </c>
      <c r="Z95">
        <v>10.65</v>
      </c>
      <c r="AA95">
        <v>3.9</v>
      </c>
      <c r="AB95" s="1">
        <v>63.380281690140841</v>
      </c>
      <c r="AC95" s="1">
        <v>211392</v>
      </c>
      <c r="AD95" t="s">
        <v>5</v>
      </c>
      <c r="AE95" s="1">
        <v>0.16995473999920407</v>
      </c>
      <c r="AF95" t="s">
        <v>138</v>
      </c>
      <c r="AG95" t="s">
        <v>0</v>
      </c>
      <c r="AH95">
        <v>1</v>
      </c>
      <c r="AI95">
        <v>0</v>
      </c>
      <c r="AJ95" t="s">
        <v>3</v>
      </c>
      <c r="AK95" t="s">
        <v>2</v>
      </c>
      <c r="AL95">
        <v>22</v>
      </c>
      <c r="AM95" t="s">
        <v>3</v>
      </c>
      <c r="AN95" t="s">
        <v>1</v>
      </c>
      <c r="AO95" s="1">
        <v>49.1</v>
      </c>
      <c r="AP95" s="1">
        <v>50.1</v>
      </c>
      <c r="AQ95">
        <v>21.1</v>
      </c>
      <c r="AR95">
        <v>87</v>
      </c>
      <c r="AS95" t="s">
        <v>3</v>
      </c>
    </row>
    <row r="96" spans="1:45" x14ac:dyDescent="0.35">
      <c r="A96" t="s">
        <v>185</v>
      </c>
      <c r="B96" t="s">
        <v>184</v>
      </c>
      <c r="C96" t="s">
        <v>160</v>
      </c>
      <c r="D96" t="s">
        <v>167</v>
      </c>
      <c r="E96" t="s">
        <v>38</v>
      </c>
      <c r="F96" t="s">
        <v>166</v>
      </c>
      <c r="G96">
        <v>22</v>
      </c>
      <c r="H96">
        <v>26</v>
      </c>
      <c r="I96" t="s">
        <v>22</v>
      </c>
      <c r="J96" t="s">
        <v>29</v>
      </c>
      <c r="K96" t="s">
        <v>21</v>
      </c>
      <c r="L96" t="s">
        <v>3</v>
      </c>
      <c r="M96" t="s">
        <v>3</v>
      </c>
      <c r="N96" t="s">
        <v>8</v>
      </c>
      <c r="O96" t="s">
        <v>3</v>
      </c>
      <c r="P96" t="s">
        <v>6</v>
      </c>
      <c r="Q96">
        <v>48632</v>
      </c>
      <c r="R96" s="1">
        <v>37</v>
      </c>
      <c r="S96">
        <v>5</v>
      </c>
      <c r="T96">
        <v>28.3</v>
      </c>
      <c r="U96" t="s">
        <v>0</v>
      </c>
      <c r="V96" t="s">
        <v>7</v>
      </c>
      <c r="W96">
        <v>9</v>
      </c>
      <c r="X96">
        <v>1</v>
      </c>
      <c r="Y96" t="s">
        <v>0</v>
      </c>
      <c r="Z96">
        <v>23.38</v>
      </c>
      <c r="AA96">
        <v>16.64</v>
      </c>
      <c r="AB96" s="1">
        <v>28.828058169375531</v>
      </c>
      <c r="AC96" s="1">
        <v>496905</v>
      </c>
      <c r="AD96" t="s">
        <v>65</v>
      </c>
      <c r="AE96" s="1">
        <v>0.43702545089596617</v>
      </c>
      <c r="AF96" t="s">
        <v>4</v>
      </c>
      <c r="AG96" t="s">
        <v>0</v>
      </c>
      <c r="AH96">
        <v>0</v>
      </c>
      <c r="AI96">
        <v>3</v>
      </c>
      <c r="AJ96" t="s">
        <v>0</v>
      </c>
      <c r="AK96" t="s">
        <v>2</v>
      </c>
      <c r="AL96">
        <v>16</v>
      </c>
      <c r="AM96" t="s">
        <v>3</v>
      </c>
      <c r="AN96" t="s">
        <v>1</v>
      </c>
      <c r="AO96" s="1">
        <v>51.4</v>
      </c>
      <c r="AP96" s="1">
        <v>45.6</v>
      </c>
      <c r="AQ96">
        <v>26.9</v>
      </c>
      <c r="AR96">
        <v>57.8</v>
      </c>
      <c r="AS96" t="s">
        <v>0</v>
      </c>
    </row>
    <row r="97" spans="1:45" x14ac:dyDescent="0.35">
      <c r="A97" t="s">
        <v>183</v>
      </c>
      <c r="B97" t="s">
        <v>182</v>
      </c>
      <c r="C97" t="s">
        <v>160</v>
      </c>
      <c r="D97" t="s">
        <v>167</v>
      </c>
      <c r="E97" t="s">
        <v>38</v>
      </c>
      <c r="F97" t="s">
        <v>166</v>
      </c>
      <c r="G97">
        <v>27</v>
      </c>
      <c r="H97">
        <v>11</v>
      </c>
      <c r="I97" t="s">
        <v>22</v>
      </c>
      <c r="J97" t="s">
        <v>61</v>
      </c>
      <c r="K97" t="s">
        <v>21</v>
      </c>
      <c r="L97" t="s">
        <v>3</v>
      </c>
      <c r="M97" t="s">
        <v>3</v>
      </c>
      <c r="N97" t="s">
        <v>20</v>
      </c>
      <c r="O97" t="s">
        <v>0</v>
      </c>
      <c r="P97" t="s">
        <v>50</v>
      </c>
      <c r="Q97">
        <v>135164</v>
      </c>
      <c r="R97" s="1">
        <v>38.6</v>
      </c>
      <c r="S97">
        <v>4</v>
      </c>
      <c r="T97">
        <v>31.2</v>
      </c>
      <c r="U97" t="s">
        <v>0</v>
      </c>
      <c r="V97" t="s">
        <v>7</v>
      </c>
      <c r="W97">
        <v>83</v>
      </c>
      <c r="X97">
        <v>1</v>
      </c>
      <c r="Y97" t="s">
        <v>0</v>
      </c>
      <c r="Z97">
        <v>18.940000000000001</v>
      </c>
      <c r="AA97">
        <v>7.29</v>
      </c>
      <c r="AB97" s="1">
        <v>61.51003167898628</v>
      </c>
      <c r="AC97" s="1">
        <v>635372</v>
      </c>
      <c r="AD97" t="s">
        <v>65</v>
      </c>
      <c r="AE97" s="1">
        <v>0.24819159028898585</v>
      </c>
      <c r="AF97" t="s">
        <v>4</v>
      </c>
      <c r="AG97" t="s">
        <v>0</v>
      </c>
      <c r="AH97">
        <v>3</v>
      </c>
      <c r="AI97">
        <v>3</v>
      </c>
      <c r="AJ97" t="s">
        <v>3</v>
      </c>
      <c r="AK97" t="s">
        <v>54</v>
      </c>
      <c r="AL97">
        <v>8</v>
      </c>
      <c r="AM97" t="s">
        <v>3</v>
      </c>
      <c r="AN97" t="s">
        <v>32</v>
      </c>
      <c r="AO97" s="1">
        <v>53.5</v>
      </c>
      <c r="AP97" s="1">
        <v>54.9</v>
      </c>
      <c r="AQ97">
        <v>32.799999999999997</v>
      </c>
      <c r="AR97">
        <v>85.4</v>
      </c>
      <c r="AS97" t="s">
        <v>0</v>
      </c>
    </row>
    <row r="98" spans="1:45" x14ac:dyDescent="0.35">
      <c r="A98" t="s">
        <v>181</v>
      </c>
      <c r="B98" t="s">
        <v>180</v>
      </c>
      <c r="C98" t="s">
        <v>160</v>
      </c>
      <c r="D98" t="s">
        <v>167</v>
      </c>
      <c r="E98" t="s">
        <v>38</v>
      </c>
      <c r="F98" t="s">
        <v>56</v>
      </c>
      <c r="G98">
        <v>27</v>
      </c>
      <c r="H98">
        <v>6</v>
      </c>
      <c r="I98" t="s">
        <v>22</v>
      </c>
      <c r="J98" t="s">
        <v>35</v>
      </c>
      <c r="K98" t="s">
        <v>21</v>
      </c>
      <c r="L98" t="s">
        <v>3</v>
      </c>
      <c r="M98" t="s">
        <v>0</v>
      </c>
      <c r="N98" t="s">
        <v>34</v>
      </c>
      <c r="O98" t="s">
        <v>3</v>
      </c>
      <c r="P98" t="s">
        <v>72</v>
      </c>
      <c r="Q98">
        <v>48818</v>
      </c>
      <c r="R98" s="1">
        <v>-11.8</v>
      </c>
      <c r="S98">
        <v>4</v>
      </c>
      <c r="U98" t="s">
        <v>0</v>
      </c>
      <c r="V98" t="s">
        <v>0</v>
      </c>
      <c r="W98">
        <v>156</v>
      </c>
      <c r="X98">
        <v>6</v>
      </c>
      <c r="Y98" t="s">
        <v>3</v>
      </c>
      <c r="Z98">
        <v>32.409999999999997</v>
      </c>
      <c r="AA98">
        <v>23.19</v>
      </c>
      <c r="AB98" s="1">
        <v>28.44800987349582</v>
      </c>
      <c r="AC98" s="1">
        <v>0</v>
      </c>
      <c r="AD98" t="s">
        <v>28</v>
      </c>
      <c r="AE98" s="1">
        <v>0</v>
      </c>
      <c r="AF98" t="s">
        <v>7</v>
      </c>
      <c r="AG98" t="s">
        <v>0</v>
      </c>
      <c r="AH98">
        <v>0</v>
      </c>
      <c r="AI98">
        <v>1</v>
      </c>
      <c r="AJ98" t="s">
        <v>3</v>
      </c>
      <c r="AK98" t="s">
        <v>2</v>
      </c>
      <c r="AL98">
        <v>8</v>
      </c>
      <c r="AM98" t="s">
        <v>0</v>
      </c>
      <c r="AN98" t="s">
        <v>32</v>
      </c>
      <c r="AO98" s="1">
        <v>30.5</v>
      </c>
      <c r="AP98" s="1">
        <v>62.4</v>
      </c>
      <c r="AQ98">
        <v>45.7</v>
      </c>
      <c r="AR98">
        <v>60.6</v>
      </c>
      <c r="AS98" t="s">
        <v>0</v>
      </c>
    </row>
    <row r="99" spans="1:45" x14ac:dyDescent="0.35">
      <c r="A99" t="s">
        <v>179</v>
      </c>
      <c r="B99" t="s">
        <v>178</v>
      </c>
      <c r="C99" t="s">
        <v>160</v>
      </c>
      <c r="D99" t="s">
        <v>167</v>
      </c>
      <c r="E99" t="s">
        <v>38</v>
      </c>
      <c r="F99" t="s">
        <v>12</v>
      </c>
      <c r="G99">
        <v>28</v>
      </c>
      <c r="H99">
        <v>40</v>
      </c>
      <c r="I99" t="s">
        <v>22</v>
      </c>
      <c r="J99" t="s">
        <v>61</v>
      </c>
      <c r="K99" t="s">
        <v>9</v>
      </c>
      <c r="L99" t="s">
        <v>3</v>
      </c>
      <c r="M99" t="s">
        <v>3</v>
      </c>
      <c r="N99" t="s">
        <v>34</v>
      </c>
      <c r="O99" t="s">
        <v>0</v>
      </c>
      <c r="P99" t="s">
        <v>79</v>
      </c>
      <c r="Q99">
        <v>58096</v>
      </c>
      <c r="R99" s="1">
        <v>20.3</v>
      </c>
      <c r="S99">
        <v>3</v>
      </c>
      <c r="T99">
        <v>17.5</v>
      </c>
      <c r="U99" t="s">
        <v>0</v>
      </c>
      <c r="V99" t="s">
        <v>0</v>
      </c>
      <c r="W99">
        <v>254</v>
      </c>
      <c r="X99">
        <v>3</v>
      </c>
      <c r="Y99" t="s">
        <v>3</v>
      </c>
      <c r="Z99">
        <v>32.18</v>
      </c>
      <c r="AA99">
        <v>14.28</v>
      </c>
      <c r="AB99" s="1">
        <v>55.624611559975136</v>
      </c>
      <c r="AC99" s="1">
        <v>55847</v>
      </c>
      <c r="AD99" t="s">
        <v>5</v>
      </c>
      <c r="AE99" s="1">
        <v>2.9872225376432724E-2</v>
      </c>
      <c r="AF99" t="s">
        <v>7</v>
      </c>
      <c r="AG99" t="s">
        <v>0</v>
      </c>
      <c r="AH99">
        <v>2</v>
      </c>
      <c r="AI99">
        <v>1</v>
      </c>
      <c r="AJ99" t="s">
        <v>3</v>
      </c>
      <c r="AK99" t="s">
        <v>2</v>
      </c>
      <c r="AL99">
        <v>20</v>
      </c>
      <c r="AM99" t="s">
        <v>3</v>
      </c>
      <c r="AN99" t="s">
        <v>32</v>
      </c>
      <c r="AO99" s="1">
        <v>31.3</v>
      </c>
      <c r="AP99" s="1">
        <v>65</v>
      </c>
      <c r="AQ99">
        <v>37</v>
      </c>
      <c r="AR99">
        <v>78.5</v>
      </c>
      <c r="AS99" t="s">
        <v>3</v>
      </c>
    </row>
    <row r="100" spans="1:45" x14ac:dyDescent="0.35">
      <c r="A100" t="s">
        <v>177</v>
      </c>
      <c r="B100" t="s">
        <v>176</v>
      </c>
      <c r="C100" t="s">
        <v>160</v>
      </c>
      <c r="D100" t="s">
        <v>159</v>
      </c>
      <c r="E100" t="s">
        <v>38</v>
      </c>
      <c r="F100" t="s">
        <v>158</v>
      </c>
      <c r="G100">
        <v>7</v>
      </c>
      <c r="H100">
        <v>22</v>
      </c>
      <c r="I100" t="s">
        <v>22</v>
      </c>
      <c r="J100" t="s">
        <v>61</v>
      </c>
      <c r="K100" t="s">
        <v>21</v>
      </c>
      <c r="L100" t="s">
        <v>3</v>
      </c>
      <c r="M100" t="s">
        <v>3</v>
      </c>
      <c r="N100" t="s">
        <v>34</v>
      </c>
      <c r="O100" t="s">
        <v>3</v>
      </c>
      <c r="P100" t="s">
        <v>60</v>
      </c>
      <c r="Q100">
        <v>54502</v>
      </c>
      <c r="R100" s="1">
        <v>24</v>
      </c>
      <c r="S100">
        <v>1</v>
      </c>
      <c r="T100">
        <v>33.200000000000003</v>
      </c>
      <c r="U100" t="s">
        <v>0</v>
      </c>
      <c r="V100" t="s">
        <v>7</v>
      </c>
      <c r="W100">
        <v>264</v>
      </c>
      <c r="X100">
        <v>6</v>
      </c>
      <c r="Y100" t="s">
        <v>3</v>
      </c>
      <c r="Z100">
        <v>28.69</v>
      </c>
      <c r="AA100">
        <v>14.69</v>
      </c>
      <c r="AB100" s="1">
        <v>48.797490414778672</v>
      </c>
      <c r="AC100" s="1">
        <v>725043</v>
      </c>
      <c r="AD100" t="s">
        <v>65</v>
      </c>
      <c r="AE100" s="1">
        <v>0.4636825757744456</v>
      </c>
      <c r="AF100" t="s">
        <v>4</v>
      </c>
      <c r="AG100" t="s">
        <v>0</v>
      </c>
      <c r="AH100">
        <v>1</v>
      </c>
      <c r="AI100">
        <v>2</v>
      </c>
      <c r="AJ100" t="s">
        <v>0</v>
      </c>
      <c r="AK100" t="s">
        <v>54</v>
      </c>
      <c r="AL100">
        <v>5</v>
      </c>
      <c r="AM100" t="s">
        <v>0</v>
      </c>
      <c r="AN100" t="s">
        <v>1</v>
      </c>
      <c r="AO100" s="1">
        <v>13.4</v>
      </c>
      <c r="AP100" s="1">
        <v>45.1</v>
      </c>
      <c r="AQ100">
        <v>9.1</v>
      </c>
      <c r="AR100">
        <v>61.8</v>
      </c>
      <c r="AS100" t="s">
        <v>3</v>
      </c>
    </row>
    <row r="101" spans="1:45" x14ac:dyDescent="0.35">
      <c r="A101" t="s">
        <v>175</v>
      </c>
      <c r="B101" t="s">
        <v>174</v>
      </c>
      <c r="C101" t="s">
        <v>160</v>
      </c>
      <c r="D101" t="s">
        <v>167</v>
      </c>
      <c r="E101" t="s">
        <v>38</v>
      </c>
      <c r="F101" t="s">
        <v>158</v>
      </c>
      <c r="G101">
        <v>12</v>
      </c>
      <c r="H101">
        <v>7</v>
      </c>
      <c r="I101" t="s">
        <v>22</v>
      </c>
      <c r="J101" t="s">
        <v>51</v>
      </c>
      <c r="K101" t="s">
        <v>21</v>
      </c>
      <c r="L101" t="s">
        <v>0</v>
      </c>
      <c r="M101" t="s">
        <v>3</v>
      </c>
      <c r="N101" t="s">
        <v>20</v>
      </c>
      <c r="O101" t="s">
        <v>0</v>
      </c>
      <c r="P101" t="s">
        <v>60</v>
      </c>
      <c r="Q101">
        <v>28239</v>
      </c>
      <c r="R101" s="1">
        <v>-4.0999999999999996</v>
      </c>
      <c r="S101">
        <v>2</v>
      </c>
      <c r="T101">
        <v>16.100000000000001</v>
      </c>
      <c r="U101" t="s">
        <v>3</v>
      </c>
      <c r="V101" t="s">
        <v>0</v>
      </c>
      <c r="W101">
        <v>189</v>
      </c>
      <c r="X101">
        <v>4</v>
      </c>
      <c r="Y101" t="s">
        <v>0</v>
      </c>
      <c r="Z101">
        <v>23.73</v>
      </c>
      <c r="AA101">
        <v>8.75</v>
      </c>
      <c r="AB101" s="1">
        <v>63.126843657817112</v>
      </c>
      <c r="AC101" s="1">
        <v>0</v>
      </c>
      <c r="AD101" t="s">
        <v>28</v>
      </c>
      <c r="AE101" s="1">
        <v>0</v>
      </c>
      <c r="AF101" t="s">
        <v>134</v>
      </c>
      <c r="AG101" t="s">
        <v>0</v>
      </c>
      <c r="AH101">
        <v>4</v>
      </c>
      <c r="AI101">
        <v>2</v>
      </c>
      <c r="AJ101" t="s">
        <v>3</v>
      </c>
      <c r="AK101" t="s">
        <v>2</v>
      </c>
      <c r="AL101">
        <v>17</v>
      </c>
      <c r="AM101" t="s">
        <v>3</v>
      </c>
      <c r="AN101" t="s">
        <v>1</v>
      </c>
      <c r="AO101" s="1">
        <v>36.5</v>
      </c>
      <c r="AP101" s="1">
        <v>55.7</v>
      </c>
      <c r="AQ101">
        <v>42.6</v>
      </c>
      <c r="AR101">
        <v>71</v>
      </c>
      <c r="AS101" t="s">
        <v>0</v>
      </c>
    </row>
    <row r="102" spans="1:45" x14ac:dyDescent="0.35">
      <c r="A102" t="s">
        <v>173</v>
      </c>
      <c r="B102" t="s">
        <v>172</v>
      </c>
      <c r="C102" t="s">
        <v>160</v>
      </c>
      <c r="D102" t="s">
        <v>159</v>
      </c>
      <c r="E102" t="s">
        <v>38</v>
      </c>
      <c r="F102" t="s">
        <v>158</v>
      </c>
      <c r="G102">
        <v>3</v>
      </c>
      <c r="H102">
        <v>37</v>
      </c>
      <c r="I102" t="s">
        <v>22</v>
      </c>
      <c r="J102" t="s">
        <v>35</v>
      </c>
      <c r="K102" t="s">
        <v>9</v>
      </c>
      <c r="L102" t="s">
        <v>3</v>
      </c>
      <c r="M102" t="s">
        <v>0</v>
      </c>
      <c r="N102" t="s">
        <v>8</v>
      </c>
      <c r="O102" t="s">
        <v>3</v>
      </c>
      <c r="P102" t="s">
        <v>60</v>
      </c>
      <c r="Q102">
        <v>44498</v>
      </c>
      <c r="S102">
        <v>5</v>
      </c>
      <c r="T102">
        <v>32.9</v>
      </c>
      <c r="U102" t="s">
        <v>3</v>
      </c>
      <c r="V102" t="s">
        <v>3</v>
      </c>
      <c r="W102">
        <v>174</v>
      </c>
      <c r="X102">
        <v>6</v>
      </c>
      <c r="Y102" t="s">
        <v>3</v>
      </c>
      <c r="Z102">
        <v>32.33</v>
      </c>
      <c r="AA102">
        <v>17.510000000000002</v>
      </c>
      <c r="AB102" s="1">
        <v>45.839777296628512</v>
      </c>
      <c r="AC102" s="1">
        <v>517807</v>
      </c>
      <c r="AD102" t="s">
        <v>49</v>
      </c>
      <c r="AE102" s="1">
        <v>0.35993304529532794</v>
      </c>
      <c r="AF102" t="s">
        <v>138</v>
      </c>
      <c r="AG102" t="s">
        <v>0</v>
      </c>
      <c r="AH102">
        <v>1</v>
      </c>
      <c r="AI102">
        <v>1</v>
      </c>
      <c r="AJ102" t="s">
        <v>3</v>
      </c>
      <c r="AK102" t="s">
        <v>2</v>
      </c>
      <c r="AL102">
        <v>22</v>
      </c>
      <c r="AM102" t="s">
        <v>3</v>
      </c>
      <c r="AN102" t="s">
        <v>1</v>
      </c>
      <c r="AO102" s="1">
        <v>92.2</v>
      </c>
      <c r="AP102" s="1">
        <v>46.2</v>
      </c>
      <c r="AQ102">
        <v>23.2</v>
      </c>
      <c r="AR102">
        <v>98.2</v>
      </c>
      <c r="AS102" t="s">
        <v>0</v>
      </c>
    </row>
    <row r="103" spans="1:45" x14ac:dyDescent="0.35">
      <c r="A103" t="s">
        <v>171</v>
      </c>
      <c r="B103" t="s">
        <v>170</v>
      </c>
      <c r="C103" t="s">
        <v>160</v>
      </c>
      <c r="D103" t="s">
        <v>159</v>
      </c>
      <c r="E103" t="s">
        <v>38</v>
      </c>
      <c r="F103" t="s">
        <v>166</v>
      </c>
      <c r="G103">
        <v>20</v>
      </c>
      <c r="H103">
        <v>37</v>
      </c>
      <c r="I103" t="s">
        <v>22</v>
      </c>
      <c r="J103" t="s">
        <v>35</v>
      </c>
      <c r="K103" t="s">
        <v>9</v>
      </c>
      <c r="L103" t="s">
        <v>3</v>
      </c>
      <c r="M103" t="s">
        <v>0</v>
      </c>
      <c r="N103" t="s">
        <v>8</v>
      </c>
      <c r="O103" t="s">
        <v>0</v>
      </c>
      <c r="P103" t="s">
        <v>50</v>
      </c>
      <c r="Q103">
        <v>109861</v>
      </c>
      <c r="R103" s="1">
        <v>0.6</v>
      </c>
      <c r="S103">
        <v>4</v>
      </c>
      <c r="T103">
        <v>29.9</v>
      </c>
      <c r="U103" t="s">
        <v>3</v>
      </c>
      <c r="V103" t="s">
        <v>7</v>
      </c>
      <c r="W103">
        <v>72</v>
      </c>
      <c r="X103">
        <v>1</v>
      </c>
      <c r="Y103" t="s">
        <v>3</v>
      </c>
      <c r="Z103">
        <v>26.39</v>
      </c>
      <c r="AA103">
        <v>18.84</v>
      </c>
      <c r="AB103" s="1">
        <v>28.60932171276999</v>
      </c>
      <c r="AC103" s="1">
        <v>0</v>
      </c>
      <c r="AD103" t="s">
        <v>28</v>
      </c>
      <c r="AE103" s="1">
        <v>0</v>
      </c>
      <c r="AF103" t="s">
        <v>4</v>
      </c>
      <c r="AG103" t="s">
        <v>0</v>
      </c>
      <c r="AH103">
        <v>1</v>
      </c>
      <c r="AI103">
        <v>3</v>
      </c>
      <c r="AJ103" t="s">
        <v>0</v>
      </c>
      <c r="AK103" t="s">
        <v>2</v>
      </c>
      <c r="AL103">
        <v>22</v>
      </c>
      <c r="AM103" t="s">
        <v>0</v>
      </c>
      <c r="AN103" t="s">
        <v>32</v>
      </c>
      <c r="AO103" s="1">
        <v>9.3000000000000007</v>
      </c>
      <c r="AP103" s="1">
        <v>56.2</v>
      </c>
      <c r="AQ103">
        <v>45.6</v>
      </c>
      <c r="AR103">
        <v>72.400000000000006</v>
      </c>
      <c r="AS103" t="s">
        <v>3</v>
      </c>
    </row>
    <row r="104" spans="1:45" x14ac:dyDescent="0.35">
      <c r="A104" t="s">
        <v>169</v>
      </c>
      <c r="B104" t="s">
        <v>168</v>
      </c>
      <c r="C104" t="s">
        <v>160</v>
      </c>
      <c r="D104" t="s">
        <v>167</v>
      </c>
      <c r="E104" t="s">
        <v>38</v>
      </c>
      <c r="F104" t="s">
        <v>166</v>
      </c>
      <c r="G104">
        <v>14</v>
      </c>
      <c r="H104">
        <v>13</v>
      </c>
      <c r="I104" t="s">
        <v>22</v>
      </c>
      <c r="J104" t="s">
        <v>51</v>
      </c>
      <c r="K104" t="s">
        <v>21</v>
      </c>
      <c r="L104" t="s">
        <v>0</v>
      </c>
      <c r="M104" t="s">
        <v>0</v>
      </c>
      <c r="N104" t="s">
        <v>34</v>
      </c>
      <c r="O104" t="s">
        <v>3</v>
      </c>
      <c r="P104" t="s">
        <v>60</v>
      </c>
      <c r="Q104">
        <v>139286</v>
      </c>
      <c r="R104" s="1">
        <v>31.5</v>
      </c>
      <c r="S104">
        <v>3</v>
      </c>
      <c r="T104">
        <v>30</v>
      </c>
      <c r="U104" t="s">
        <v>0</v>
      </c>
      <c r="V104" t="s">
        <v>3</v>
      </c>
      <c r="W104">
        <v>7</v>
      </c>
      <c r="X104">
        <v>6</v>
      </c>
      <c r="Y104" t="s">
        <v>0</v>
      </c>
      <c r="Z104">
        <v>6.28</v>
      </c>
      <c r="AA104">
        <v>3.51</v>
      </c>
      <c r="AB104" s="1">
        <v>44.108280254777078</v>
      </c>
      <c r="AC104" s="1">
        <v>300024</v>
      </c>
      <c r="AD104" t="s">
        <v>49</v>
      </c>
      <c r="AE104" s="1">
        <v>0.34299586672740712</v>
      </c>
      <c r="AF104" t="s">
        <v>129</v>
      </c>
      <c r="AG104" t="s">
        <v>3</v>
      </c>
      <c r="AH104">
        <v>3</v>
      </c>
      <c r="AI104">
        <v>2</v>
      </c>
      <c r="AJ104" t="s">
        <v>3</v>
      </c>
      <c r="AK104" t="s">
        <v>2</v>
      </c>
      <c r="AL104">
        <v>21</v>
      </c>
      <c r="AM104" t="s">
        <v>0</v>
      </c>
      <c r="AN104" t="s">
        <v>1</v>
      </c>
      <c r="AO104" s="1">
        <v>99.2</v>
      </c>
      <c r="AP104" s="1">
        <v>37.799999999999997</v>
      </c>
      <c r="AQ104">
        <v>14.2</v>
      </c>
      <c r="AR104">
        <v>73.099999999999994</v>
      </c>
      <c r="AS104" t="s">
        <v>0</v>
      </c>
    </row>
    <row r="105" spans="1:45" x14ac:dyDescent="0.35">
      <c r="A105" t="s">
        <v>165</v>
      </c>
      <c r="B105" t="s">
        <v>164</v>
      </c>
      <c r="C105" t="s">
        <v>160</v>
      </c>
      <c r="D105" t="s">
        <v>163</v>
      </c>
      <c r="E105" t="s">
        <v>38</v>
      </c>
      <c r="F105" t="s">
        <v>158</v>
      </c>
      <c r="G105">
        <v>28</v>
      </c>
      <c r="H105">
        <v>12</v>
      </c>
      <c r="I105" t="s">
        <v>22</v>
      </c>
      <c r="J105" t="s">
        <v>51</v>
      </c>
      <c r="K105" t="s">
        <v>9</v>
      </c>
      <c r="L105" t="s">
        <v>0</v>
      </c>
      <c r="M105" t="s">
        <v>0</v>
      </c>
      <c r="N105" t="s">
        <v>8</v>
      </c>
      <c r="O105" t="s">
        <v>3</v>
      </c>
      <c r="P105" t="s">
        <v>50</v>
      </c>
      <c r="Q105">
        <v>144419</v>
      </c>
      <c r="R105" s="1">
        <v>-10.3</v>
      </c>
      <c r="S105">
        <v>2</v>
      </c>
      <c r="T105">
        <v>27.7</v>
      </c>
      <c r="U105" t="s">
        <v>0</v>
      </c>
      <c r="V105" t="s">
        <v>0</v>
      </c>
      <c r="W105">
        <v>31</v>
      </c>
      <c r="X105">
        <v>2</v>
      </c>
      <c r="Y105" t="s">
        <v>3</v>
      </c>
      <c r="Z105">
        <v>30.8</v>
      </c>
      <c r="AA105">
        <v>20.69</v>
      </c>
      <c r="AB105" s="1">
        <v>32.824675324675326</v>
      </c>
      <c r="AC105" s="1">
        <v>0</v>
      </c>
      <c r="AD105" t="s">
        <v>28</v>
      </c>
      <c r="AE105" s="1">
        <v>0</v>
      </c>
      <c r="AF105" t="s">
        <v>33</v>
      </c>
      <c r="AG105" t="s">
        <v>0</v>
      </c>
      <c r="AH105">
        <v>0</v>
      </c>
      <c r="AI105">
        <v>0</v>
      </c>
      <c r="AJ105" t="s">
        <v>3</v>
      </c>
      <c r="AK105" t="s">
        <v>2</v>
      </c>
      <c r="AL105">
        <v>11</v>
      </c>
      <c r="AM105" t="s">
        <v>0</v>
      </c>
      <c r="AN105" t="s">
        <v>1</v>
      </c>
      <c r="AO105" s="1">
        <v>93.1</v>
      </c>
      <c r="AP105" s="1">
        <v>38</v>
      </c>
      <c r="AQ105">
        <v>34.5</v>
      </c>
      <c r="AR105">
        <v>57.2</v>
      </c>
      <c r="AS105" t="s">
        <v>0</v>
      </c>
    </row>
    <row r="106" spans="1:45" x14ac:dyDescent="0.35">
      <c r="A106" t="s">
        <v>162</v>
      </c>
      <c r="B106" t="s">
        <v>161</v>
      </c>
      <c r="C106" t="s">
        <v>160</v>
      </c>
      <c r="D106" t="s">
        <v>159</v>
      </c>
      <c r="E106" t="s">
        <v>38</v>
      </c>
      <c r="F106" t="s">
        <v>158</v>
      </c>
      <c r="G106">
        <v>26</v>
      </c>
      <c r="H106">
        <v>37</v>
      </c>
      <c r="I106" t="s">
        <v>22</v>
      </c>
      <c r="J106" t="s">
        <v>61</v>
      </c>
      <c r="K106" t="s">
        <v>21</v>
      </c>
      <c r="L106" t="s">
        <v>0</v>
      </c>
      <c r="M106" t="s">
        <v>0</v>
      </c>
      <c r="N106" t="s">
        <v>34</v>
      </c>
      <c r="O106" t="s">
        <v>3</v>
      </c>
      <c r="P106" t="s">
        <v>60</v>
      </c>
      <c r="Q106">
        <v>108345</v>
      </c>
      <c r="R106" s="1">
        <v>-17.8</v>
      </c>
      <c r="S106">
        <v>2</v>
      </c>
      <c r="T106">
        <v>31.4</v>
      </c>
      <c r="U106" t="s">
        <v>0</v>
      </c>
      <c r="V106" t="s">
        <v>0</v>
      </c>
      <c r="W106">
        <v>49</v>
      </c>
      <c r="X106">
        <v>3</v>
      </c>
      <c r="Y106" t="s">
        <v>0</v>
      </c>
      <c r="Z106">
        <v>19.77</v>
      </c>
      <c r="AA106">
        <v>10.039999999999999</v>
      </c>
      <c r="AB106" s="1">
        <v>49.215983813859388</v>
      </c>
      <c r="AC106" s="1">
        <v>414194</v>
      </c>
      <c r="AD106" t="s">
        <v>49</v>
      </c>
      <c r="AE106" s="1">
        <v>0.19336962731199275</v>
      </c>
      <c r="AF106" t="s">
        <v>7</v>
      </c>
      <c r="AG106" t="s">
        <v>0</v>
      </c>
      <c r="AH106">
        <v>4</v>
      </c>
      <c r="AI106">
        <v>2</v>
      </c>
      <c r="AJ106" t="s">
        <v>3</v>
      </c>
      <c r="AK106" t="s">
        <v>2</v>
      </c>
      <c r="AL106">
        <v>21</v>
      </c>
      <c r="AM106" t="s">
        <v>0</v>
      </c>
      <c r="AN106" t="s">
        <v>48</v>
      </c>
      <c r="AO106" s="1">
        <v>45.5</v>
      </c>
      <c r="AP106" s="1">
        <v>38.299999999999997</v>
      </c>
      <c r="AQ106">
        <v>5.2</v>
      </c>
      <c r="AR106">
        <v>50.5</v>
      </c>
      <c r="AS106" t="s">
        <v>0</v>
      </c>
    </row>
    <row r="107" spans="1:45" x14ac:dyDescent="0.35">
      <c r="A107" t="s">
        <v>157</v>
      </c>
      <c r="B107" t="s">
        <v>156</v>
      </c>
      <c r="C107" t="s">
        <v>120</v>
      </c>
      <c r="D107" t="s">
        <v>119</v>
      </c>
      <c r="E107" t="s">
        <v>24</v>
      </c>
      <c r="F107" t="s">
        <v>123</v>
      </c>
      <c r="G107">
        <v>13</v>
      </c>
      <c r="H107">
        <v>35</v>
      </c>
      <c r="I107" t="s">
        <v>22</v>
      </c>
      <c r="J107" t="s">
        <v>7</v>
      </c>
      <c r="K107" t="s">
        <v>9</v>
      </c>
      <c r="L107" t="s">
        <v>0</v>
      </c>
      <c r="M107" t="s">
        <v>0</v>
      </c>
      <c r="N107" t="s">
        <v>20</v>
      </c>
      <c r="O107" t="s">
        <v>0</v>
      </c>
      <c r="P107" t="s">
        <v>42</v>
      </c>
      <c r="Q107">
        <v>109337</v>
      </c>
      <c r="R107" s="1">
        <v>7.6</v>
      </c>
      <c r="S107">
        <v>5</v>
      </c>
      <c r="T107">
        <v>36.6</v>
      </c>
      <c r="U107" t="s">
        <v>3</v>
      </c>
      <c r="V107" t="s">
        <v>3</v>
      </c>
      <c r="W107">
        <v>200</v>
      </c>
      <c r="X107">
        <v>6</v>
      </c>
      <c r="Y107" t="s">
        <v>0</v>
      </c>
      <c r="Z107">
        <v>14.59</v>
      </c>
      <c r="AA107">
        <v>9.1999999999999993</v>
      </c>
      <c r="AB107" s="1">
        <v>36.943111720356413</v>
      </c>
      <c r="AC107" s="1">
        <v>0</v>
      </c>
      <c r="AD107" t="s">
        <v>28</v>
      </c>
      <c r="AE107" s="1">
        <v>0</v>
      </c>
      <c r="AF107" t="s">
        <v>129</v>
      </c>
      <c r="AG107" t="s">
        <v>0</v>
      </c>
      <c r="AH107">
        <v>4</v>
      </c>
      <c r="AI107">
        <v>0</v>
      </c>
      <c r="AJ107" t="s">
        <v>3</v>
      </c>
      <c r="AK107" t="s">
        <v>2</v>
      </c>
      <c r="AL107">
        <v>11</v>
      </c>
      <c r="AM107" t="s">
        <v>3</v>
      </c>
      <c r="AN107" t="s">
        <v>1</v>
      </c>
      <c r="AO107" s="1">
        <v>7.6</v>
      </c>
      <c r="AP107" s="1">
        <v>75.2</v>
      </c>
      <c r="AQ107">
        <v>26.4</v>
      </c>
      <c r="AR107">
        <v>61.2</v>
      </c>
      <c r="AS107" t="s">
        <v>0</v>
      </c>
    </row>
    <row r="108" spans="1:45" x14ac:dyDescent="0.35">
      <c r="A108" t="s">
        <v>155</v>
      </c>
      <c r="B108" t="s">
        <v>154</v>
      </c>
      <c r="C108" t="s">
        <v>120</v>
      </c>
      <c r="D108" t="s">
        <v>119</v>
      </c>
      <c r="E108" t="s">
        <v>13</v>
      </c>
      <c r="F108" t="s">
        <v>23</v>
      </c>
      <c r="G108">
        <v>27</v>
      </c>
      <c r="H108">
        <v>27</v>
      </c>
      <c r="I108" t="s">
        <v>22</v>
      </c>
      <c r="J108" t="s">
        <v>10</v>
      </c>
      <c r="K108" t="s">
        <v>9</v>
      </c>
      <c r="L108" t="s">
        <v>0</v>
      </c>
      <c r="M108" t="s">
        <v>3</v>
      </c>
      <c r="N108" t="s">
        <v>8</v>
      </c>
      <c r="O108" t="s">
        <v>3</v>
      </c>
      <c r="P108" t="s">
        <v>79</v>
      </c>
      <c r="Q108">
        <v>140610</v>
      </c>
      <c r="R108" s="1">
        <v>-15.3</v>
      </c>
      <c r="S108">
        <v>4</v>
      </c>
      <c r="T108">
        <v>30.3</v>
      </c>
      <c r="U108" t="s">
        <v>0</v>
      </c>
      <c r="V108" t="s">
        <v>0</v>
      </c>
      <c r="W108">
        <v>26</v>
      </c>
      <c r="X108">
        <v>4</v>
      </c>
      <c r="Y108" t="s">
        <v>3</v>
      </c>
      <c r="Z108">
        <v>18.3</v>
      </c>
      <c r="AA108">
        <v>12.98</v>
      </c>
      <c r="AB108" s="1">
        <v>29.071038251366122</v>
      </c>
      <c r="AC108" s="1">
        <v>0</v>
      </c>
      <c r="AD108" t="s">
        <v>28</v>
      </c>
      <c r="AE108" s="1">
        <v>0</v>
      </c>
      <c r="AF108" t="s">
        <v>7</v>
      </c>
      <c r="AG108" t="s">
        <v>0</v>
      </c>
      <c r="AH108">
        <v>1</v>
      </c>
      <c r="AI108">
        <v>2</v>
      </c>
      <c r="AJ108" t="s">
        <v>0</v>
      </c>
      <c r="AK108" t="s">
        <v>54</v>
      </c>
      <c r="AL108">
        <v>5</v>
      </c>
      <c r="AM108" t="s">
        <v>7</v>
      </c>
      <c r="AN108" t="s">
        <v>1</v>
      </c>
      <c r="AO108" s="1">
        <v>47.8</v>
      </c>
      <c r="AP108" s="1">
        <v>47.9</v>
      </c>
      <c r="AQ108">
        <v>27.6</v>
      </c>
      <c r="AR108">
        <v>63.6</v>
      </c>
      <c r="AS108" t="s">
        <v>0</v>
      </c>
    </row>
    <row r="109" spans="1:45" x14ac:dyDescent="0.35">
      <c r="A109" t="s">
        <v>153</v>
      </c>
      <c r="B109" t="s">
        <v>152</v>
      </c>
      <c r="C109" t="s">
        <v>120</v>
      </c>
      <c r="D109" t="s">
        <v>124</v>
      </c>
      <c r="E109" t="s">
        <v>38</v>
      </c>
      <c r="F109" t="s">
        <v>135</v>
      </c>
      <c r="G109">
        <v>12</v>
      </c>
      <c r="H109">
        <v>21</v>
      </c>
      <c r="I109" t="s">
        <v>22</v>
      </c>
      <c r="J109" t="s">
        <v>61</v>
      </c>
      <c r="K109" t="s">
        <v>9</v>
      </c>
      <c r="L109" t="s">
        <v>3</v>
      </c>
      <c r="M109" t="s">
        <v>3</v>
      </c>
      <c r="N109" t="s">
        <v>55</v>
      </c>
      <c r="O109" t="s">
        <v>0</v>
      </c>
      <c r="P109" t="s">
        <v>6</v>
      </c>
      <c r="Q109">
        <v>51082</v>
      </c>
      <c r="R109" s="1">
        <v>-3.8</v>
      </c>
      <c r="S109">
        <v>5</v>
      </c>
      <c r="T109">
        <v>23.6</v>
      </c>
      <c r="U109" t="s">
        <v>3</v>
      </c>
      <c r="V109" t="s">
        <v>3</v>
      </c>
      <c r="W109">
        <v>219</v>
      </c>
      <c r="X109">
        <v>6</v>
      </c>
      <c r="Y109" t="s">
        <v>0</v>
      </c>
      <c r="Z109">
        <v>20.239999999999998</v>
      </c>
      <c r="AA109">
        <v>10.33</v>
      </c>
      <c r="AB109" s="1">
        <v>48.962450592885368</v>
      </c>
      <c r="AC109" s="1">
        <v>457128</v>
      </c>
      <c r="AD109" t="s">
        <v>65</v>
      </c>
      <c r="AE109" s="1">
        <v>0.44213960874811375</v>
      </c>
      <c r="AF109" t="s">
        <v>134</v>
      </c>
      <c r="AG109" t="s">
        <v>3</v>
      </c>
      <c r="AH109">
        <v>2</v>
      </c>
      <c r="AI109">
        <v>1</v>
      </c>
      <c r="AJ109" t="s">
        <v>3</v>
      </c>
      <c r="AK109" t="s">
        <v>18</v>
      </c>
      <c r="AL109">
        <v>0</v>
      </c>
      <c r="AM109" t="s">
        <v>3</v>
      </c>
      <c r="AN109" t="s">
        <v>48</v>
      </c>
      <c r="AO109" s="1">
        <v>80</v>
      </c>
      <c r="AP109" s="1">
        <v>61.7</v>
      </c>
      <c r="AQ109">
        <v>26.3</v>
      </c>
      <c r="AR109">
        <v>40.6</v>
      </c>
      <c r="AS109" t="s">
        <v>0</v>
      </c>
    </row>
    <row r="110" spans="1:45" x14ac:dyDescent="0.35">
      <c r="A110" t="s">
        <v>151</v>
      </c>
      <c r="B110" t="s">
        <v>150</v>
      </c>
      <c r="C110" t="s">
        <v>120</v>
      </c>
      <c r="D110" t="s">
        <v>119</v>
      </c>
      <c r="E110" t="s">
        <v>24</v>
      </c>
      <c r="F110" t="s">
        <v>56</v>
      </c>
      <c r="G110">
        <v>27</v>
      </c>
      <c r="H110">
        <v>21</v>
      </c>
      <c r="I110" t="s">
        <v>22</v>
      </c>
      <c r="J110" t="s">
        <v>10</v>
      </c>
      <c r="K110" t="s">
        <v>9</v>
      </c>
      <c r="L110" t="s">
        <v>3</v>
      </c>
      <c r="M110" t="s">
        <v>3</v>
      </c>
      <c r="N110" t="s">
        <v>8</v>
      </c>
      <c r="O110" t="s">
        <v>3</v>
      </c>
      <c r="P110" t="s">
        <v>42</v>
      </c>
      <c r="Q110">
        <v>117595</v>
      </c>
      <c r="R110" s="1">
        <v>0.1</v>
      </c>
      <c r="S110">
        <v>3</v>
      </c>
      <c r="T110">
        <v>24</v>
      </c>
      <c r="U110" t="s">
        <v>3</v>
      </c>
      <c r="V110" t="s">
        <v>0</v>
      </c>
      <c r="W110">
        <v>181</v>
      </c>
      <c r="X110">
        <v>1</v>
      </c>
      <c r="Y110" t="s">
        <v>3</v>
      </c>
      <c r="Z110">
        <v>19.690000000000001</v>
      </c>
      <c r="AA110">
        <v>12.24</v>
      </c>
      <c r="AB110" s="1">
        <v>37.836465210766889</v>
      </c>
      <c r="AC110" s="1">
        <v>461483</v>
      </c>
      <c r="AD110" t="s">
        <v>65</v>
      </c>
      <c r="AE110" s="1">
        <v>0.19930634948422776</v>
      </c>
      <c r="AF110" t="s">
        <v>118</v>
      </c>
      <c r="AG110" t="s">
        <v>0</v>
      </c>
      <c r="AH110">
        <v>2</v>
      </c>
      <c r="AI110">
        <v>2</v>
      </c>
      <c r="AJ110" t="s">
        <v>3</v>
      </c>
      <c r="AK110" t="s">
        <v>18</v>
      </c>
      <c r="AL110">
        <v>0</v>
      </c>
      <c r="AM110" t="s">
        <v>7</v>
      </c>
      <c r="AN110" t="s">
        <v>32</v>
      </c>
      <c r="AO110" s="1">
        <v>38.1</v>
      </c>
      <c r="AP110" s="1">
        <v>30.1</v>
      </c>
      <c r="AQ110">
        <v>33.4</v>
      </c>
      <c r="AR110">
        <v>48.7</v>
      </c>
      <c r="AS110" t="s">
        <v>3</v>
      </c>
    </row>
    <row r="111" spans="1:45" x14ac:dyDescent="0.35">
      <c r="A111" t="s">
        <v>149</v>
      </c>
      <c r="B111" t="s">
        <v>148</v>
      </c>
      <c r="C111" t="s">
        <v>120</v>
      </c>
      <c r="D111" t="s">
        <v>132</v>
      </c>
      <c r="E111" t="s">
        <v>13</v>
      </c>
      <c r="F111" t="s">
        <v>123</v>
      </c>
      <c r="G111">
        <v>9</v>
      </c>
      <c r="H111">
        <v>33</v>
      </c>
      <c r="I111" t="s">
        <v>22</v>
      </c>
      <c r="J111" t="s">
        <v>61</v>
      </c>
      <c r="K111" t="s">
        <v>21</v>
      </c>
      <c r="L111" t="s">
        <v>3</v>
      </c>
      <c r="M111" t="s">
        <v>3</v>
      </c>
      <c r="N111" t="s">
        <v>20</v>
      </c>
      <c r="O111" t="s">
        <v>0</v>
      </c>
      <c r="P111" t="s">
        <v>72</v>
      </c>
      <c r="Q111">
        <v>146553</v>
      </c>
      <c r="R111" s="1">
        <v>7</v>
      </c>
      <c r="S111">
        <v>2</v>
      </c>
      <c r="T111">
        <v>19.600000000000001</v>
      </c>
      <c r="U111" t="s">
        <v>3</v>
      </c>
      <c r="V111" t="s">
        <v>7</v>
      </c>
      <c r="W111">
        <v>279</v>
      </c>
      <c r="X111">
        <v>6</v>
      </c>
      <c r="Y111" t="s">
        <v>0</v>
      </c>
      <c r="Z111">
        <v>9.1199999999999992</v>
      </c>
      <c r="AA111">
        <v>3.8</v>
      </c>
      <c r="AB111" s="1">
        <v>58.333333333333336</v>
      </c>
      <c r="AC111" s="1">
        <v>51034</v>
      </c>
      <c r="AD111" t="s">
        <v>65</v>
      </c>
      <c r="AE111" s="1">
        <v>3.8183000916619476E-2</v>
      </c>
      <c r="AF111" t="s">
        <v>4</v>
      </c>
      <c r="AG111" t="s">
        <v>3</v>
      </c>
      <c r="AH111">
        <v>4</v>
      </c>
      <c r="AI111">
        <v>0</v>
      </c>
      <c r="AJ111" t="s">
        <v>3</v>
      </c>
      <c r="AK111" t="s">
        <v>2</v>
      </c>
      <c r="AL111">
        <v>12</v>
      </c>
      <c r="AM111" t="s">
        <v>3</v>
      </c>
      <c r="AN111" t="s">
        <v>7</v>
      </c>
      <c r="AO111" s="1">
        <v>30.9</v>
      </c>
      <c r="AP111" s="1">
        <v>27.3</v>
      </c>
      <c r="AQ111">
        <v>17.8</v>
      </c>
      <c r="AR111">
        <v>77.599999999999994</v>
      </c>
      <c r="AS111" t="s">
        <v>3</v>
      </c>
    </row>
    <row r="112" spans="1:45" x14ac:dyDescent="0.35">
      <c r="A112" t="s">
        <v>147</v>
      </c>
      <c r="B112" t="s">
        <v>146</v>
      </c>
      <c r="C112" t="s">
        <v>120</v>
      </c>
      <c r="D112" t="s">
        <v>124</v>
      </c>
      <c r="E112" t="s">
        <v>38</v>
      </c>
      <c r="F112" t="s">
        <v>56</v>
      </c>
      <c r="G112">
        <v>5</v>
      </c>
      <c r="H112">
        <v>39</v>
      </c>
      <c r="I112" t="s">
        <v>22</v>
      </c>
      <c r="J112" t="s">
        <v>61</v>
      </c>
      <c r="K112" t="s">
        <v>9</v>
      </c>
      <c r="L112" t="s">
        <v>3</v>
      </c>
      <c r="M112" t="s">
        <v>0</v>
      </c>
      <c r="N112" t="s">
        <v>20</v>
      </c>
      <c r="O112" t="s">
        <v>0</v>
      </c>
      <c r="P112" t="s">
        <v>72</v>
      </c>
      <c r="Q112">
        <v>79840</v>
      </c>
      <c r="R112" s="1">
        <v>17.899999999999999</v>
      </c>
      <c r="S112">
        <v>5</v>
      </c>
      <c r="U112" t="s">
        <v>3</v>
      </c>
      <c r="V112" t="s">
        <v>0</v>
      </c>
      <c r="W112">
        <v>182</v>
      </c>
      <c r="X112">
        <v>4</v>
      </c>
      <c r="Y112" t="s">
        <v>0</v>
      </c>
      <c r="Z112">
        <v>37.380000000000003</v>
      </c>
      <c r="AA112">
        <v>19.690000000000001</v>
      </c>
      <c r="AB112" s="1">
        <v>47.324772605671484</v>
      </c>
      <c r="AC112" s="1">
        <v>207846</v>
      </c>
      <c r="AD112" t="s">
        <v>49</v>
      </c>
      <c r="AE112" s="1">
        <v>6.9643701528257149E-2</v>
      </c>
      <c r="AF112" t="s">
        <v>33</v>
      </c>
      <c r="AG112" t="s">
        <v>0</v>
      </c>
      <c r="AH112">
        <v>1</v>
      </c>
      <c r="AI112">
        <v>2</v>
      </c>
      <c r="AJ112" t="s">
        <v>3</v>
      </c>
      <c r="AK112" t="s">
        <v>2</v>
      </c>
      <c r="AL112">
        <v>15</v>
      </c>
      <c r="AM112" t="s">
        <v>0</v>
      </c>
      <c r="AN112" t="s">
        <v>1</v>
      </c>
      <c r="AO112" s="1">
        <v>94.7</v>
      </c>
      <c r="AP112" s="1">
        <v>43.4</v>
      </c>
      <c r="AQ112">
        <v>5.4</v>
      </c>
      <c r="AR112">
        <v>65.8</v>
      </c>
      <c r="AS112" t="s">
        <v>3</v>
      </c>
    </row>
    <row r="113" spans="1:45" x14ac:dyDescent="0.35">
      <c r="A113" t="s">
        <v>145</v>
      </c>
      <c r="B113" t="s">
        <v>144</v>
      </c>
      <c r="C113" t="s">
        <v>120</v>
      </c>
      <c r="D113" t="s">
        <v>119</v>
      </c>
      <c r="E113" t="s">
        <v>38</v>
      </c>
      <c r="F113" t="s">
        <v>23</v>
      </c>
      <c r="G113">
        <v>27</v>
      </c>
      <c r="H113">
        <v>29</v>
      </c>
      <c r="I113" t="s">
        <v>22</v>
      </c>
      <c r="J113" t="s">
        <v>29</v>
      </c>
      <c r="K113" t="s">
        <v>9</v>
      </c>
      <c r="L113" t="s">
        <v>3</v>
      </c>
      <c r="M113" t="s">
        <v>3</v>
      </c>
      <c r="N113" t="s">
        <v>20</v>
      </c>
      <c r="O113" t="s">
        <v>0</v>
      </c>
      <c r="P113" t="s">
        <v>79</v>
      </c>
      <c r="Q113">
        <v>75343</v>
      </c>
      <c r="R113" s="1">
        <v>17.5</v>
      </c>
      <c r="S113">
        <v>5</v>
      </c>
      <c r="T113">
        <v>34.1</v>
      </c>
      <c r="U113" t="s">
        <v>0</v>
      </c>
      <c r="V113" t="s">
        <v>0</v>
      </c>
      <c r="W113">
        <v>144</v>
      </c>
      <c r="X113">
        <v>3</v>
      </c>
      <c r="Y113" t="s">
        <v>0</v>
      </c>
      <c r="Z113">
        <v>26.75</v>
      </c>
      <c r="AA113">
        <v>12.24</v>
      </c>
      <c r="AB113" s="1">
        <v>54.242990654205606</v>
      </c>
      <c r="AC113" s="1">
        <v>54771</v>
      </c>
      <c r="AD113" t="s">
        <v>19</v>
      </c>
      <c r="AE113" s="1">
        <v>2.7175902455325494E-2</v>
      </c>
      <c r="AF113" t="s">
        <v>143</v>
      </c>
      <c r="AG113" t="s">
        <v>0</v>
      </c>
      <c r="AH113">
        <v>2</v>
      </c>
      <c r="AI113">
        <v>3</v>
      </c>
      <c r="AJ113" t="s">
        <v>3</v>
      </c>
      <c r="AK113" t="s">
        <v>2</v>
      </c>
      <c r="AL113">
        <v>13</v>
      </c>
      <c r="AM113" t="s">
        <v>3</v>
      </c>
      <c r="AN113" t="s">
        <v>32</v>
      </c>
      <c r="AO113" s="1">
        <v>18.600000000000001</v>
      </c>
      <c r="AP113" s="1">
        <v>17.2</v>
      </c>
      <c r="AQ113">
        <v>17.100000000000001</v>
      </c>
      <c r="AR113">
        <v>82.9</v>
      </c>
      <c r="AS113" t="s">
        <v>0</v>
      </c>
    </row>
    <row r="114" spans="1:45" x14ac:dyDescent="0.35">
      <c r="A114" t="s">
        <v>142</v>
      </c>
      <c r="B114" t="s">
        <v>141</v>
      </c>
      <c r="C114" t="s">
        <v>120</v>
      </c>
      <c r="D114" t="s">
        <v>132</v>
      </c>
      <c r="E114" t="s">
        <v>13</v>
      </c>
      <c r="F114" t="s">
        <v>135</v>
      </c>
      <c r="G114">
        <v>23</v>
      </c>
      <c r="H114">
        <v>7</v>
      </c>
      <c r="I114" t="s">
        <v>22</v>
      </c>
      <c r="J114" t="s">
        <v>10</v>
      </c>
      <c r="K114" t="s">
        <v>21</v>
      </c>
      <c r="L114" t="s">
        <v>3</v>
      </c>
      <c r="M114" t="s">
        <v>0</v>
      </c>
      <c r="N114" t="s">
        <v>20</v>
      </c>
      <c r="O114" t="s">
        <v>0</v>
      </c>
      <c r="P114" t="s">
        <v>60</v>
      </c>
      <c r="Q114">
        <v>27345</v>
      </c>
      <c r="R114" s="1">
        <v>-4</v>
      </c>
      <c r="S114">
        <v>4</v>
      </c>
      <c r="T114">
        <v>16.8</v>
      </c>
      <c r="U114" t="s">
        <v>3</v>
      </c>
      <c r="V114" t="s">
        <v>3</v>
      </c>
      <c r="W114">
        <v>133</v>
      </c>
      <c r="X114">
        <v>4</v>
      </c>
      <c r="Y114" t="s">
        <v>0</v>
      </c>
      <c r="Z114">
        <v>10.76</v>
      </c>
      <c r="AA114">
        <v>7.07</v>
      </c>
      <c r="AB114" s="1">
        <v>34.293680297397763</v>
      </c>
      <c r="AC114" s="1">
        <v>616980</v>
      </c>
      <c r="AD114" t="s">
        <v>65</v>
      </c>
      <c r="AE114" s="1">
        <v>2.0969152934315143</v>
      </c>
      <c r="AF114" t="s">
        <v>4</v>
      </c>
      <c r="AG114" t="s">
        <v>3</v>
      </c>
      <c r="AH114">
        <v>0</v>
      </c>
      <c r="AI114">
        <v>1</v>
      </c>
      <c r="AJ114" t="s">
        <v>3</v>
      </c>
      <c r="AK114" t="s">
        <v>54</v>
      </c>
      <c r="AL114">
        <v>8</v>
      </c>
      <c r="AM114" t="s">
        <v>3</v>
      </c>
      <c r="AN114" t="s">
        <v>1</v>
      </c>
      <c r="AO114" s="1">
        <v>15.9</v>
      </c>
      <c r="AP114" s="1">
        <v>61</v>
      </c>
      <c r="AQ114">
        <v>38.5</v>
      </c>
      <c r="AR114">
        <v>73</v>
      </c>
      <c r="AS114" t="s">
        <v>3</v>
      </c>
    </row>
    <row r="115" spans="1:45" x14ac:dyDescent="0.35">
      <c r="A115" t="s">
        <v>140</v>
      </c>
      <c r="B115" t="s">
        <v>139</v>
      </c>
      <c r="C115" t="s">
        <v>120</v>
      </c>
      <c r="D115" t="s">
        <v>119</v>
      </c>
      <c r="E115" t="s">
        <v>24</v>
      </c>
      <c r="F115" t="s">
        <v>123</v>
      </c>
      <c r="G115">
        <v>12</v>
      </c>
      <c r="H115">
        <v>22</v>
      </c>
      <c r="I115" t="s">
        <v>11</v>
      </c>
      <c r="J115" t="s">
        <v>51</v>
      </c>
      <c r="K115" t="s">
        <v>21</v>
      </c>
      <c r="L115" t="s">
        <v>3</v>
      </c>
      <c r="M115" t="s">
        <v>3</v>
      </c>
      <c r="N115" t="s">
        <v>8</v>
      </c>
      <c r="O115" t="s">
        <v>3</v>
      </c>
      <c r="P115" t="s">
        <v>60</v>
      </c>
      <c r="Q115">
        <v>21170</v>
      </c>
      <c r="R115" s="1">
        <v>38.1</v>
      </c>
      <c r="S115">
        <v>5</v>
      </c>
      <c r="T115">
        <v>34.6</v>
      </c>
      <c r="U115" t="s">
        <v>3</v>
      </c>
      <c r="V115" t="s">
        <v>0</v>
      </c>
      <c r="W115">
        <v>195</v>
      </c>
      <c r="X115">
        <v>1</v>
      </c>
      <c r="Y115" t="s">
        <v>3</v>
      </c>
      <c r="Z115">
        <v>25.5</v>
      </c>
      <c r="AA115">
        <v>15.92</v>
      </c>
      <c r="AB115" s="1">
        <v>37.568627450980394</v>
      </c>
      <c r="AC115" s="1">
        <v>775721</v>
      </c>
      <c r="AD115" t="s">
        <v>49</v>
      </c>
      <c r="AE115" s="1">
        <v>1.4369594413107709</v>
      </c>
      <c r="AF115" t="s">
        <v>138</v>
      </c>
      <c r="AG115" t="s">
        <v>0</v>
      </c>
      <c r="AH115">
        <v>4</v>
      </c>
      <c r="AI115">
        <v>0</v>
      </c>
      <c r="AJ115" t="s">
        <v>3</v>
      </c>
      <c r="AK115" t="s">
        <v>2</v>
      </c>
      <c r="AL115">
        <v>15</v>
      </c>
      <c r="AM115" t="s">
        <v>0</v>
      </c>
      <c r="AN115" t="s">
        <v>1</v>
      </c>
      <c r="AO115" s="1">
        <v>80.599999999999994</v>
      </c>
      <c r="AP115" s="1">
        <v>40.700000000000003</v>
      </c>
      <c r="AQ115">
        <v>13.7</v>
      </c>
      <c r="AR115">
        <v>81.400000000000006</v>
      </c>
      <c r="AS115" t="s">
        <v>0</v>
      </c>
    </row>
    <row r="116" spans="1:45" x14ac:dyDescent="0.35">
      <c r="A116" t="s">
        <v>137</v>
      </c>
      <c r="B116" t="s">
        <v>136</v>
      </c>
      <c r="C116" t="s">
        <v>120</v>
      </c>
      <c r="D116" t="s">
        <v>119</v>
      </c>
      <c r="E116" t="s">
        <v>24</v>
      </c>
      <c r="F116" t="s">
        <v>135</v>
      </c>
      <c r="G116">
        <v>11</v>
      </c>
      <c r="H116">
        <v>34</v>
      </c>
      <c r="I116" t="s">
        <v>22</v>
      </c>
      <c r="J116" t="s">
        <v>61</v>
      </c>
      <c r="K116" t="s">
        <v>21</v>
      </c>
      <c r="L116" t="s">
        <v>0</v>
      </c>
      <c r="M116" t="s">
        <v>3</v>
      </c>
      <c r="N116" t="s">
        <v>34</v>
      </c>
      <c r="O116" t="s">
        <v>3</v>
      </c>
      <c r="P116" t="s">
        <v>72</v>
      </c>
      <c r="Q116">
        <v>41016</v>
      </c>
      <c r="S116">
        <v>2</v>
      </c>
      <c r="T116">
        <v>26.2</v>
      </c>
      <c r="U116" t="s">
        <v>0</v>
      </c>
      <c r="V116" t="s">
        <v>7</v>
      </c>
      <c r="W116">
        <v>192</v>
      </c>
      <c r="X116">
        <v>4</v>
      </c>
      <c r="Y116" t="s">
        <v>3</v>
      </c>
      <c r="Z116">
        <v>30.88</v>
      </c>
      <c r="AA116">
        <v>15.49</v>
      </c>
      <c r="AB116" s="1">
        <v>49.838082901554401</v>
      </c>
      <c r="AC116" s="1">
        <v>14976</v>
      </c>
      <c r="AD116" t="s">
        <v>65</v>
      </c>
      <c r="AE116" s="1">
        <v>1.1824022168525666E-2</v>
      </c>
      <c r="AF116" t="s">
        <v>134</v>
      </c>
      <c r="AG116" t="s">
        <v>0</v>
      </c>
      <c r="AH116">
        <v>4</v>
      </c>
      <c r="AI116">
        <v>3</v>
      </c>
      <c r="AJ116" t="s">
        <v>3</v>
      </c>
      <c r="AK116" t="s">
        <v>2</v>
      </c>
      <c r="AL116">
        <v>16</v>
      </c>
      <c r="AM116" t="s">
        <v>0</v>
      </c>
      <c r="AN116" t="s">
        <v>48</v>
      </c>
      <c r="AO116" s="1">
        <v>61.3</v>
      </c>
      <c r="AP116" s="1">
        <v>32.6</v>
      </c>
      <c r="AQ116">
        <v>33.799999999999997</v>
      </c>
      <c r="AR116">
        <v>46.6</v>
      </c>
      <c r="AS116" t="s">
        <v>0</v>
      </c>
    </row>
    <row r="117" spans="1:45" x14ac:dyDescent="0.35">
      <c r="A117" t="s">
        <v>133</v>
      </c>
      <c r="B117" t="s">
        <v>91</v>
      </c>
      <c r="C117" t="s">
        <v>120</v>
      </c>
      <c r="D117" t="s">
        <v>132</v>
      </c>
      <c r="E117" t="s">
        <v>13</v>
      </c>
      <c r="F117" t="s">
        <v>123</v>
      </c>
      <c r="G117">
        <v>22</v>
      </c>
      <c r="H117">
        <v>36</v>
      </c>
      <c r="I117" t="s">
        <v>22</v>
      </c>
      <c r="J117" t="s">
        <v>10</v>
      </c>
      <c r="K117" t="s">
        <v>21</v>
      </c>
      <c r="L117" t="s">
        <v>3</v>
      </c>
      <c r="M117" t="s">
        <v>3</v>
      </c>
      <c r="N117" t="s">
        <v>20</v>
      </c>
      <c r="O117" t="s">
        <v>0</v>
      </c>
      <c r="P117" t="s">
        <v>6</v>
      </c>
      <c r="Q117">
        <v>48930</v>
      </c>
      <c r="R117" s="1">
        <v>16.399999999999999</v>
      </c>
      <c r="S117">
        <v>1</v>
      </c>
      <c r="T117">
        <v>15.3</v>
      </c>
      <c r="U117" t="s">
        <v>0</v>
      </c>
      <c r="V117" t="s">
        <v>0</v>
      </c>
      <c r="W117">
        <v>30</v>
      </c>
      <c r="X117">
        <v>1</v>
      </c>
      <c r="Y117" t="s">
        <v>0</v>
      </c>
      <c r="Z117">
        <v>30.92</v>
      </c>
      <c r="AA117">
        <v>15.29</v>
      </c>
      <c r="AB117" s="1">
        <v>50.549805950840884</v>
      </c>
      <c r="AC117" s="1">
        <v>0</v>
      </c>
      <c r="AD117" t="s">
        <v>28</v>
      </c>
      <c r="AE117" s="1">
        <v>0</v>
      </c>
      <c r="AF117" t="s">
        <v>4</v>
      </c>
      <c r="AG117" t="s">
        <v>0</v>
      </c>
      <c r="AH117">
        <v>0</v>
      </c>
      <c r="AI117">
        <v>2</v>
      </c>
      <c r="AJ117" t="s">
        <v>3</v>
      </c>
      <c r="AK117" t="s">
        <v>18</v>
      </c>
      <c r="AL117">
        <v>0</v>
      </c>
      <c r="AM117" t="s">
        <v>3</v>
      </c>
      <c r="AN117" t="s">
        <v>1</v>
      </c>
      <c r="AO117" s="1">
        <v>7.8</v>
      </c>
      <c r="AP117" s="1">
        <v>25.1</v>
      </c>
      <c r="AQ117">
        <v>28.4</v>
      </c>
      <c r="AR117">
        <v>46.1</v>
      </c>
      <c r="AS117" t="s">
        <v>3</v>
      </c>
    </row>
    <row r="118" spans="1:45" x14ac:dyDescent="0.35">
      <c r="A118" t="s">
        <v>131</v>
      </c>
      <c r="B118" t="s">
        <v>130</v>
      </c>
      <c r="C118" t="s">
        <v>120</v>
      </c>
      <c r="D118" t="s">
        <v>124</v>
      </c>
      <c r="E118" t="s">
        <v>24</v>
      </c>
      <c r="F118" t="s">
        <v>23</v>
      </c>
      <c r="G118">
        <v>25</v>
      </c>
      <c r="H118">
        <v>27</v>
      </c>
      <c r="I118" t="s">
        <v>22</v>
      </c>
      <c r="J118" t="s">
        <v>51</v>
      </c>
      <c r="K118" t="s">
        <v>21</v>
      </c>
      <c r="L118" t="s">
        <v>3</v>
      </c>
      <c r="M118" t="s">
        <v>0</v>
      </c>
      <c r="N118" t="s">
        <v>34</v>
      </c>
      <c r="O118" t="s">
        <v>3</v>
      </c>
      <c r="P118" t="s">
        <v>79</v>
      </c>
      <c r="Q118">
        <v>41864</v>
      </c>
      <c r="R118" s="1">
        <v>27.5</v>
      </c>
      <c r="S118">
        <v>5</v>
      </c>
      <c r="T118">
        <v>25</v>
      </c>
      <c r="U118" t="s">
        <v>3</v>
      </c>
      <c r="V118" t="s">
        <v>3</v>
      </c>
      <c r="W118">
        <v>231</v>
      </c>
      <c r="X118">
        <v>3</v>
      </c>
      <c r="Y118" t="s">
        <v>0</v>
      </c>
      <c r="Z118">
        <v>27.45</v>
      </c>
      <c r="AA118">
        <v>20.55</v>
      </c>
      <c r="AB118" s="1">
        <v>25.136612021857918</v>
      </c>
      <c r="AC118" s="1">
        <v>0</v>
      </c>
      <c r="AD118" t="s">
        <v>28</v>
      </c>
      <c r="AE118" s="1">
        <v>0</v>
      </c>
      <c r="AF118" t="s">
        <v>129</v>
      </c>
      <c r="AG118" t="s">
        <v>0</v>
      </c>
      <c r="AH118">
        <v>2</v>
      </c>
      <c r="AI118">
        <v>1</v>
      </c>
      <c r="AJ118" t="s">
        <v>3</v>
      </c>
      <c r="AK118" t="s">
        <v>18</v>
      </c>
      <c r="AL118">
        <v>0</v>
      </c>
      <c r="AM118" t="s">
        <v>3</v>
      </c>
      <c r="AN118" t="s">
        <v>1</v>
      </c>
      <c r="AO118" s="1">
        <v>36</v>
      </c>
      <c r="AP118" s="1">
        <v>41.7</v>
      </c>
      <c r="AQ118">
        <v>48.2</v>
      </c>
      <c r="AR118">
        <v>40</v>
      </c>
      <c r="AS118" t="s">
        <v>3</v>
      </c>
    </row>
    <row r="119" spans="1:45" x14ac:dyDescent="0.35">
      <c r="A119" t="s">
        <v>128</v>
      </c>
      <c r="B119" t="s">
        <v>127</v>
      </c>
      <c r="C119" t="s">
        <v>120</v>
      </c>
      <c r="D119" t="s">
        <v>119</v>
      </c>
      <c r="E119" t="s">
        <v>38</v>
      </c>
      <c r="F119" t="s">
        <v>123</v>
      </c>
      <c r="G119">
        <v>18</v>
      </c>
      <c r="H119">
        <v>37</v>
      </c>
      <c r="I119" t="s">
        <v>22</v>
      </c>
      <c r="J119" t="s">
        <v>10</v>
      </c>
      <c r="K119" t="s">
        <v>9</v>
      </c>
      <c r="L119" t="s">
        <v>3</v>
      </c>
      <c r="M119" t="s">
        <v>3</v>
      </c>
      <c r="N119" t="s">
        <v>55</v>
      </c>
      <c r="O119" t="s">
        <v>0</v>
      </c>
      <c r="P119" t="s">
        <v>79</v>
      </c>
      <c r="Q119">
        <v>80341</v>
      </c>
      <c r="R119" s="1">
        <v>1.3</v>
      </c>
      <c r="S119">
        <v>2</v>
      </c>
      <c r="T119">
        <v>21.6</v>
      </c>
      <c r="U119" t="s">
        <v>0</v>
      </c>
      <c r="V119" t="s">
        <v>0</v>
      </c>
      <c r="W119">
        <v>5</v>
      </c>
      <c r="X119">
        <v>2</v>
      </c>
      <c r="Y119" t="s">
        <v>3</v>
      </c>
      <c r="Z119">
        <v>17.71</v>
      </c>
      <c r="AA119">
        <v>10.24</v>
      </c>
      <c r="AB119" s="1">
        <v>42.179559570863923</v>
      </c>
      <c r="AC119" s="1">
        <v>173950</v>
      </c>
      <c r="AD119" t="s">
        <v>5</v>
      </c>
      <c r="AE119" s="1">
        <v>0.12225556549397913</v>
      </c>
      <c r="AF119" t="s">
        <v>4</v>
      </c>
      <c r="AG119" t="s">
        <v>3</v>
      </c>
      <c r="AH119">
        <v>4</v>
      </c>
      <c r="AI119">
        <v>0</v>
      </c>
      <c r="AJ119" t="s">
        <v>3</v>
      </c>
      <c r="AK119" t="s">
        <v>18</v>
      </c>
      <c r="AL119">
        <v>0</v>
      </c>
      <c r="AM119" t="s">
        <v>3</v>
      </c>
      <c r="AN119" t="s">
        <v>1</v>
      </c>
      <c r="AO119" s="1">
        <v>7.8</v>
      </c>
      <c r="AP119" s="1">
        <v>13.9</v>
      </c>
      <c r="AQ119">
        <v>39.700000000000003</v>
      </c>
      <c r="AR119">
        <v>60.9</v>
      </c>
      <c r="AS119" t="s">
        <v>0</v>
      </c>
    </row>
    <row r="120" spans="1:45" x14ac:dyDescent="0.35">
      <c r="A120" t="s">
        <v>126</v>
      </c>
      <c r="B120" t="s">
        <v>125</v>
      </c>
      <c r="C120" t="s">
        <v>120</v>
      </c>
      <c r="D120" t="s">
        <v>124</v>
      </c>
      <c r="E120" t="s">
        <v>24</v>
      </c>
      <c r="F120" t="s">
        <v>123</v>
      </c>
      <c r="G120">
        <v>11</v>
      </c>
      <c r="H120">
        <v>37</v>
      </c>
      <c r="I120" t="s">
        <v>22</v>
      </c>
      <c r="J120" t="s">
        <v>35</v>
      </c>
      <c r="K120" t="s">
        <v>9</v>
      </c>
      <c r="L120" t="s">
        <v>3</v>
      </c>
      <c r="M120" t="s">
        <v>3</v>
      </c>
      <c r="N120" t="s">
        <v>8</v>
      </c>
      <c r="O120" t="s">
        <v>7</v>
      </c>
      <c r="P120" t="s">
        <v>79</v>
      </c>
      <c r="Q120">
        <v>108294</v>
      </c>
      <c r="R120" s="1">
        <v>23.9</v>
      </c>
      <c r="S120">
        <v>4</v>
      </c>
      <c r="T120">
        <v>39.299999999999997</v>
      </c>
      <c r="U120" t="s">
        <v>0</v>
      </c>
      <c r="V120" t="s">
        <v>0</v>
      </c>
      <c r="W120">
        <v>263</v>
      </c>
      <c r="X120">
        <v>1</v>
      </c>
      <c r="Y120" t="s">
        <v>3</v>
      </c>
      <c r="Z120">
        <v>17.3</v>
      </c>
      <c r="AA120">
        <v>8.7799999999999994</v>
      </c>
      <c r="AB120" s="1">
        <v>49.248554913294804</v>
      </c>
      <c r="AC120" s="1">
        <v>66036</v>
      </c>
      <c r="AD120" t="s">
        <v>49</v>
      </c>
      <c r="AE120" s="1">
        <v>3.5247657548798592E-2</v>
      </c>
      <c r="AF120" t="s">
        <v>7</v>
      </c>
      <c r="AG120" t="s">
        <v>0</v>
      </c>
      <c r="AH120">
        <v>3</v>
      </c>
      <c r="AI120">
        <v>3</v>
      </c>
      <c r="AJ120" t="s">
        <v>3</v>
      </c>
      <c r="AK120" t="s">
        <v>2</v>
      </c>
      <c r="AL120">
        <v>20</v>
      </c>
      <c r="AM120" t="s">
        <v>0</v>
      </c>
      <c r="AN120" t="s">
        <v>1</v>
      </c>
      <c r="AO120" s="1">
        <v>39.5</v>
      </c>
      <c r="AP120" s="1">
        <v>50</v>
      </c>
      <c r="AQ120">
        <v>30.3</v>
      </c>
      <c r="AR120">
        <v>99.8</v>
      </c>
      <c r="AS120" t="s">
        <v>0</v>
      </c>
    </row>
    <row r="121" spans="1:45" x14ac:dyDescent="0.35">
      <c r="A121" t="s">
        <v>122</v>
      </c>
      <c r="B121" t="s">
        <v>121</v>
      </c>
      <c r="C121" t="s">
        <v>120</v>
      </c>
      <c r="D121" t="s">
        <v>119</v>
      </c>
      <c r="E121" t="s">
        <v>24</v>
      </c>
      <c r="F121" t="s">
        <v>56</v>
      </c>
      <c r="G121">
        <v>7</v>
      </c>
      <c r="H121">
        <v>25</v>
      </c>
      <c r="I121" t="s">
        <v>22</v>
      </c>
      <c r="J121" t="s">
        <v>61</v>
      </c>
      <c r="K121" t="s">
        <v>9</v>
      </c>
      <c r="L121" t="s">
        <v>3</v>
      </c>
      <c r="M121" t="s">
        <v>3</v>
      </c>
      <c r="N121" t="s">
        <v>34</v>
      </c>
      <c r="O121" t="s">
        <v>3</v>
      </c>
      <c r="P121" t="s">
        <v>50</v>
      </c>
      <c r="Q121">
        <v>23172</v>
      </c>
      <c r="R121" s="1">
        <v>26.2</v>
      </c>
      <c r="S121">
        <v>2</v>
      </c>
      <c r="T121">
        <v>39.700000000000003</v>
      </c>
      <c r="U121" t="s">
        <v>3</v>
      </c>
      <c r="V121" t="s">
        <v>0</v>
      </c>
      <c r="W121">
        <v>231</v>
      </c>
      <c r="X121">
        <v>5</v>
      </c>
      <c r="Y121" t="s">
        <v>3</v>
      </c>
      <c r="Z121">
        <v>7.75</v>
      </c>
      <c r="AA121">
        <v>5.25</v>
      </c>
      <c r="AB121" s="1">
        <v>32.258064516129032</v>
      </c>
      <c r="AC121" s="1">
        <v>299057</v>
      </c>
      <c r="AD121" t="s">
        <v>49</v>
      </c>
      <c r="AE121" s="1">
        <v>1.66528568962541</v>
      </c>
      <c r="AF121" t="s">
        <v>118</v>
      </c>
      <c r="AG121" t="s">
        <v>3</v>
      </c>
      <c r="AH121">
        <v>4</v>
      </c>
      <c r="AI121">
        <v>1</v>
      </c>
      <c r="AJ121" t="s">
        <v>3</v>
      </c>
      <c r="AK121" t="s">
        <v>2</v>
      </c>
      <c r="AL121">
        <v>8</v>
      </c>
      <c r="AM121" t="s">
        <v>0</v>
      </c>
      <c r="AN121" t="s">
        <v>1</v>
      </c>
      <c r="AO121" s="1">
        <v>45</v>
      </c>
      <c r="AP121" s="1">
        <v>11.6</v>
      </c>
      <c r="AQ121">
        <v>14.4</v>
      </c>
      <c r="AR121">
        <v>72.3</v>
      </c>
      <c r="AS121" t="s">
        <v>3</v>
      </c>
    </row>
    <row r="122" spans="1:45" x14ac:dyDescent="0.35">
      <c r="A122" t="s">
        <v>117</v>
      </c>
      <c r="B122" t="s">
        <v>116</v>
      </c>
      <c r="C122" t="s">
        <v>84</v>
      </c>
      <c r="D122" t="s">
        <v>87</v>
      </c>
      <c r="E122" t="s">
        <v>24</v>
      </c>
      <c r="F122" t="s">
        <v>56</v>
      </c>
      <c r="G122">
        <v>9</v>
      </c>
      <c r="H122">
        <v>3</v>
      </c>
      <c r="I122" t="s">
        <v>11</v>
      </c>
      <c r="J122" t="s">
        <v>29</v>
      </c>
      <c r="K122" t="s">
        <v>9</v>
      </c>
      <c r="L122" t="s">
        <v>3</v>
      </c>
      <c r="M122" t="s">
        <v>0</v>
      </c>
      <c r="N122" t="s">
        <v>34</v>
      </c>
      <c r="O122" t="s">
        <v>0</v>
      </c>
      <c r="P122" t="s">
        <v>60</v>
      </c>
      <c r="Q122">
        <v>19778</v>
      </c>
      <c r="R122" s="1">
        <v>-16.8</v>
      </c>
      <c r="S122">
        <v>1</v>
      </c>
      <c r="T122">
        <v>32.299999999999997</v>
      </c>
      <c r="U122" t="s">
        <v>0</v>
      </c>
      <c r="V122" t="s">
        <v>0</v>
      </c>
      <c r="W122">
        <v>189</v>
      </c>
      <c r="X122">
        <v>1</v>
      </c>
      <c r="Y122" t="s">
        <v>3</v>
      </c>
      <c r="Z122">
        <v>39.83</v>
      </c>
      <c r="AA122">
        <v>24.29</v>
      </c>
      <c r="AB122" s="1">
        <v>39.015817223198596</v>
      </c>
      <c r="AC122" s="1">
        <v>304561</v>
      </c>
      <c r="AD122" t="s">
        <v>49</v>
      </c>
      <c r="AE122" s="1">
        <v>0.38661759134223167</v>
      </c>
      <c r="AF122" t="s">
        <v>4</v>
      </c>
      <c r="AG122" t="s">
        <v>0</v>
      </c>
      <c r="AH122">
        <v>4</v>
      </c>
      <c r="AI122">
        <v>0</v>
      </c>
      <c r="AJ122" t="s">
        <v>0</v>
      </c>
      <c r="AK122" t="s">
        <v>2</v>
      </c>
      <c r="AL122">
        <v>11</v>
      </c>
      <c r="AM122" t="s">
        <v>0</v>
      </c>
      <c r="AN122" t="s">
        <v>32</v>
      </c>
      <c r="AO122" s="1">
        <v>4</v>
      </c>
      <c r="AP122" s="1">
        <v>74.599999999999994</v>
      </c>
      <c r="AQ122">
        <v>18.7</v>
      </c>
      <c r="AR122">
        <v>69.400000000000006</v>
      </c>
      <c r="AS122" t="s">
        <v>0</v>
      </c>
    </row>
    <row r="123" spans="1:45" x14ac:dyDescent="0.35">
      <c r="A123" t="s">
        <v>115</v>
      </c>
      <c r="B123" t="s">
        <v>114</v>
      </c>
      <c r="C123" t="s">
        <v>84</v>
      </c>
      <c r="D123" t="s">
        <v>90</v>
      </c>
      <c r="E123" t="s">
        <v>24</v>
      </c>
      <c r="F123" t="s">
        <v>82</v>
      </c>
      <c r="G123">
        <v>21</v>
      </c>
      <c r="H123">
        <v>5</v>
      </c>
      <c r="I123" t="s">
        <v>22</v>
      </c>
      <c r="J123" t="s">
        <v>10</v>
      </c>
      <c r="K123" t="s">
        <v>21</v>
      </c>
      <c r="L123" t="s">
        <v>0</v>
      </c>
      <c r="M123" t="s">
        <v>0</v>
      </c>
      <c r="N123" t="s">
        <v>34</v>
      </c>
      <c r="O123" t="s">
        <v>3</v>
      </c>
      <c r="P123" t="s">
        <v>72</v>
      </c>
      <c r="Q123">
        <v>20362</v>
      </c>
      <c r="R123" s="1">
        <v>-6.5</v>
      </c>
      <c r="S123">
        <v>3</v>
      </c>
      <c r="T123">
        <v>61.4</v>
      </c>
      <c r="U123" t="s">
        <v>0</v>
      </c>
      <c r="V123" t="s">
        <v>3</v>
      </c>
      <c r="W123">
        <v>49</v>
      </c>
      <c r="X123">
        <v>3</v>
      </c>
      <c r="Y123" t="s">
        <v>0</v>
      </c>
      <c r="Z123">
        <v>43.46</v>
      </c>
      <c r="AA123">
        <v>25.86</v>
      </c>
      <c r="AB123" s="1">
        <v>40.497008743672346</v>
      </c>
      <c r="AC123" s="1">
        <v>181942</v>
      </c>
      <c r="AD123" t="s">
        <v>19</v>
      </c>
      <c r="AE123" s="1">
        <v>0.20559985748969875</v>
      </c>
      <c r="AF123" t="s">
        <v>4</v>
      </c>
      <c r="AG123" t="s">
        <v>0</v>
      </c>
      <c r="AH123">
        <v>4</v>
      </c>
      <c r="AI123">
        <v>2</v>
      </c>
      <c r="AJ123" t="s">
        <v>3</v>
      </c>
      <c r="AK123" t="s">
        <v>54</v>
      </c>
      <c r="AL123">
        <v>10</v>
      </c>
      <c r="AM123" t="s">
        <v>7</v>
      </c>
      <c r="AN123" t="s">
        <v>48</v>
      </c>
      <c r="AO123" s="1">
        <v>86.3</v>
      </c>
      <c r="AP123" s="1">
        <v>31.6</v>
      </c>
      <c r="AQ123">
        <v>36.700000000000003</v>
      </c>
      <c r="AR123">
        <v>71.400000000000006</v>
      </c>
      <c r="AS123" t="s">
        <v>3</v>
      </c>
    </row>
    <row r="124" spans="1:45" x14ac:dyDescent="0.35">
      <c r="A124" t="s">
        <v>113</v>
      </c>
      <c r="B124" t="s">
        <v>112</v>
      </c>
      <c r="C124" t="s">
        <v>84</v>
      </c>
      <c r="D124" t="s">
        <v>83</v>
      </c>
      <c r="E124" t="s">
        <v>24</v>
      </c>
      <c r="F124" t="s">
        <v>98</v>
      </c>
      <c r="G124">
        <v>25</v>
      </c>
      <c r="H124">
        <v>6</v>
      </c>
      <c r="I124" t="s">
        <v>22</v>
      </c>
      <c r="J124" t="s">
        <v>51</v>
      </c>
      <c r="K124" t="s">
        <v>9</v>
      </c>
      <c r="L124" t="s">
        <v>3</v>
      </c>
      <c r="M124" t="s">
        <v>3</v>
      </c>
      <c r="N124" t="s">
        <v>34</v>
      </c>
      <c r="O124" t="s">
        <v>0</v>
      </c>
      <c r="P124" t="s">
        <v>6</v>
      </c>
      <c r="Q124">
        <v>31032</v>
      </c>
      <c r="R124" s="1">
        <v>24.7</v>
      </c>
      <c r="S124">
        <v>3</v>
      </c>
      <c r="T124">
        <v>35.299999999999997</v>
      </c>
      <c r="U124" t="s">
        <v>3</v>
      </c>
      <c r="V124" t="s">
        <v>3</v>
      </c>
      <c r="W124">
        <v>18</v>
      </c>
      <c r="X124">
        <v>3</v>
      </c>
      <c r="Y124" t="s">
        <v>0</v>
      </c>
      <c r="Z124">
        <v>29.62</v>
      </c>
      <c r="AA124">
        <v>17.62</v>
      </c>
      <c r="AB124" s="1">
        <v>40.513166779203239</v>
      </c>
      <c r="AC124" s="1">
        <v>184730</v>
      </c>
      <c r="AD124" t="s">
        <v>19</v>
      </c>
      <c r="AE124" s="1">
        <v>0.20097526475686964</v>
      </c>
      <c r="AF124" t="s">
        <v>4</v>
      </c>
      <c r="AG124" t="s">
        <v>0</v>
      </c>
      <c r="AH124">
        <v>4</v>
      </c>
      <c r="AI124">
        <v>3</v>
      </c>
      <c r="AJ124" t="s">
        <v>0</v>
      </c>
      <c r="AK124" t="s">
        <v>2</v>
      </c>
      <c r="AL124">
        <v>10</v>
      </c>
      <c r="AM124" t="s">
        <v>0</v>
      </c>
      <c r="AN124" t="s">
        <v>48</v>
      </c>
      <c r="AO124" s="1">
        <v>16.399999999999999</v>
      </c>
      <c r="AP124" s="1">
        <v>25.8</v>
      </c>
      <c r="AQ124">
        <v>23.4</v>
      </c>
      <c r="AR124">
        <v>98.1</v>
      </c>
      <c r="AS124" t="s">
        <v>0</v>
      </c>
    </row>
    <row r="125" spans="1:45" x14ac:dyDescent="0.35">
      <c r="A125" t="s">
        <v>111</v>
      </c>
      <c r="B125" t="s">
        <v>110</v>
      </c>
      <c r="C125" t="s">
        <v>84</v>
      </c>
      <c r="D125" t="s">
        <v>83</v>
      </c>
      <c r="E125" t="s">
        <v>13</v>
      </c>
      <c r="F125" t="s">
        <v>95</v>
      </c>
      <c r="G125">
        <v>28</v>
      </c>
      <c r="H125">
        <v>8</v>
      </c>
      <c r="I125" t="s">
        <v>22</v>
      </c>
      <c r="J125" t="s">
        <v>51</v>
      </c>
      <c r="K125" t="s">
        <v>9</v>
      </c>
      <c r="L125" t="s">
        <v>0</v>
      </c>
      <c r="M125" t="s">
        <v>0</v>
      </c>
      <c r="N125" t="s">
        <v>55</v>
      </c>
      <c r="O125" t="s">
        <v>0</v>
      </c>
      <c r="P125" t="s">
        <v>42</v>
      </c>
      <c r="Q125">
        <v>4741</v>
      </c>
      <c r="R125" s="1">
        <v>16.5</v>
      </c>
      <c r="S125">
        <v>4</v>
      </c>
      <c r="T125">
        <v>55.2</v>
      </c>
      <c r="U125" t="s">
        <v>0</v>
      </c>
      <c r="V125" t="s">
        <v>0</v>
      </c>
      <c r="W125">
        <v>279</v>
      </c>
      <c r="X125">
        <v>3</v>
      </c>
      <c r="Y125" t="s">
        <v>0</v>
      </c>
      <c r="Z125">
        <v>33.46</v>
      </c>
      <c r="AA125">
        <v>12.23</v>
      </c>
      <c r="AB125" s="1">
        <v>63.448894202032278</v>
      </c>
      <c r="AC125" s="1">
        <v>365520</v>
      </c>
      <c r="AD125" t="s">
        <v>49</v>
      </c>
      <c r="AE125" s="1">
        <v>2.3041739008305036</v>
      </c>
      <c r="AF125" t="s">
        <v>4</v>
      </c>
      <c r="AG125" t="s">
        <v>0</v>
      </c>
      <c r="AH125">
        <v>0</v>
      </c>
      <c r="AI125">
        <v>3</v>
      </c>
      <c r="AJ125" t="s">
        <v>0</v>
      </c>
      <c r="AK125" t="s">
        <v>18</v>
      </c>
      <c r="AL125">
        <v>0</v>
      </c>
      <c r="AM125" t="s">
        <v>0</v>
      </c>
      <c r="AN125" t="s">
        <v>48</v>
      </c>
      <c r="AO125" s="1">
        <v>29.1</v>
      </c>
      <c r="AP125" s="1">
        <v>37.9</v>
      </c>
      <c r="AQ125">
        <v>18.7</v>
      </c>
      <c r="AR125">
        <v>89.7</v>
      </c>
      <c r="AS125" t="s">
        <v>0</v>
      </c>
    </row>
    <row r="126" spans="1:45" x14ac:dyDescent="0.35">
      <c r="A126" t="s">
        <v>109</v>
      </c>
      <c r="B126" t="s">
        <v>108</v>
      </c>
      <c r="C126" t="s">
        <v>84</v>
      </c>
      <c r="D126" t="s">
        <v>87</v>
      </c>
      <c r="E126" t="s">
        <v>13</v>
      </c>
      <c r="F126" t="s">
        <v>98</v>
      </c>
      <c r="G126">
        <v>25</v>
      </c>
      <c r="H126">
        <v>10</v>
      </c>
      <c r="I126" t="s">
        <v>22</v>
      </c>
      <c r="J126" t="s">
        <v>51</v>
      </c>
      <c r="K126" t="s">
        <v>9</v>
      </c>
      <c r="L126" t="s">
        <v>0</v>
      </c>
      <c r="M126" t="s">
        <v>3</v>
      </c>
      <c r="N126" t="s">
        <v>8</v>
      </c>
      <c r="O126" t="s">
        <v>0</v>
      </c>
      <c r="P126" t="s">
        <v>42</v>
      </c>
      <c r="Q126">
        <v>23198</v>
      </c>
      <c r="R126" s="1">
        <v>7.1</v>
      </c>
      <c r="S126">
        <v>2</v>
      </c>
      <c r="T126">
        <v>45.9</v>
      </c>
      <c r="U126" t="s">
        <v>0</v>
      </c>
      <c r="V126" t="s">
        <v>0</v>
      </c>
      <c r="W126">
        <v>108</v>
      </c>
      <c r="X126">
        <v>2</v>
      </c>
      <c r="Y126" t="s">
        <v>3</v>
      </c>
      <c r="Z126">
        <v>18.64</v>
      </c>
      <c r="AA126">
        <v>11.36</v>
      </c>
      <c r="AB126" s="1">
        <v>39.055793991416316</v>
      </c>
      <c r="AC126" s="1">
        <v>0</v>
      </c>
      <c r="AD126" t="s">
        <v>28</v>
      </c>
      <c r="AE126" s="1">
        <v>0</v>
      </c>
      <c r="AF126" t="s">
        <v>4</v>
      </c>
      <c r="AG126" t="s">
        <v>0</v>
      </c>
      <c r="AH126">
        <v>0</v>
      </c>
      <c r="AI126">
        <v>0</v>
      </c>
      <c r="AJ126" t="s">
        <v>3</v>
      </c>
      <c r="AK126" t="s">
        <v>54</v>
      </c>
      <c r="AL126">
        <v>7</v>
      </c>
      <c r="AM126" t="s">
        <v>0</v>
      </c>
      <c r="AN126" t="s">
        <v>48</v>
      </c>
      <c r="AO126" s="1">
        <v>37.9</v>
      </c>
      <c r="AP126" s="1">
        <v>36.6</v>
      </c>
      <c r="AQ126">
        <v>39.6</v>
      </c>
      <c r="AR126">
        <v>94.7</v>
      </c>
      <c r="AS126" t="s">
        <v>0</v>
      </c>
    </row>
    <row r="127" spans="1:45" x14ac:dyDescent="0.35">
      <c r="A127" t="s">
        <v>107</v>
      </c>
      <c r="B127" t="s">
        <v>106</v>
      </c>
      <c r="C127" t="s">
        <v>84</v>
      </c>
      <c r="D127" t="s">
        <v>83</v>
      </c>
      <c r="E127" t="s">
        <v>38</v>
      </c>
      <c r="F127" t="s">
        <v>95</v>
      </c>
      <c r="G127">
        <v>4</v>
      </c>
      <c r="H127">
        <v>15</v>
      </c>
      <c r="I127" t="s">
        <v>22</v>
      </c>
      <c r="J127" t="s">
        <v>35</v>
      </c>
      <c r="K127" t="s">
        <v>21</v>
      </c>
      <c r="L127" t="s">
        <v>0</v>
      </c>
      <c r="M127" t="s">
        <v>0</v>
      </c>
      <c r="N127" t="s">
        <v>8</v>
      </c>
      <c r="O127" t="s">
        <v>7</v>
      </c>
      <c r="P127" t="s">
        <v>79</v>
      </c>
      <c r="Q127">
        <v>18587</v>
      </c>
      <c r="S127">
        <v>4</v>
      </c>
      <c r="T127">
        <v>59.9</v>
      </c>
      <c r="U127" t="s">
        <v>0</v>
      </c>
      <c r="V127" t="s">
        <v>0</v>
      </c>
      <c r="W127">
        <v>7</v>
      </c>
      <c r="X127">
        <v>3</v>
      </c>
      <c r="Y127" t="s">
        <v>0</v>
      </c>
      <c r="Z127">
        <v>15.28</v>
      </c>
      <c r="AA127">
        <v>8.9499999999999993</v>
      </c>
      <c r="AB127" s="1">
        <v>41.426701570680628</v>
      </c>
      <c r="AC127" s="1">
        <v>328121</v>
      </c>
      <c r="AD127" t="s">
        <v>19</v>
      </c>
      <c r="AE127" s="1">
        <v>1.1553175571396661</v>
      </c>
      <c r="AF127" t="s">
        <v>4</v>
      </c>
      <c r="AG127" t="s">
        <v>0</v>
      </c>
      <c r="AH127">
        <v>4</v>
      </c>
      <c r="AI127">
        <v>1</v>
      </c>
      <c r="AJ127" t="s">
        <v>3</v>
      </c>
      <c r="AK127" t="s">
        <v>2</v>
      </c>
      <c r="AL127">
        <v>10</v>
      </c>
      <c r="AM127" t="s">
        <v>0</v>
      </c>
      <c r="AN127" t="s">
        <v>32</v>
      </c>
      <c r="AO127" s="1">
        <v>14.5</v>
      </c>
      <c r="AP127" s="1">
        <v>12.3</v>
      </c>
      <c r="AQ127">
        <v>31</v>
      </c>
      <c r="AR127">
        <v>76.2</v>
      </c>
      <c r="AS127" t="s">
        <v>3</v>
      </c>
    </row>
    <row r="128" spans="1:45" x14ac:dyDescent="0.35">
      <c r="A128" t="s">
        <v>105</v>
      </c>
      <c r="B128" t="s">
        <v>104</v>
      </c>
      <c r="C128" t="s">
        <v>84</v>
      </c>
      <c r="D128" t="s">
        <v>90</v>
      </c>
      <c r="E128" t="s">
        <v>13</v>
      </c>
      <c r="F128" t="s">
        <v>56</v>
      </c>
      <c r="G128">
        <v>15</v>
      </c>
      <c r="H128">
        <v>12</v>
      </c>
      <c r="I128" t="s">
        <v>22</v>
      </c>
      <c r="J128" t="s">
        <v>10</v>
      </c>
      <c r="K128" t="s">
        <v>9</v>
      </c>
      <c r="L128" t="s">
        <v>0</v>
      </c>
      <c r="M128" t="s">
        <v>0</v>
      </c>
      <c r="N128" t="s">
        <v>8</v>
      </c>
      <c r="O128" t="s">
        <v>7</v>
      </c>
      <c r="P128" t="s">
        <v>79</v>
      </c>
      <c r="Q128">
        <v>21614</v>
      </c>
      <c r="R128" s="1">
        <v>-0.6</v>
      </c>
      <c r="S128">
        <v>4</v>
      </c>
      <c r="T128">
        <v>58.7</v>
      </c>
      <c r="U128" t="s">
        <v>0</v>
      </c>
      <c r="V128" t="s">
        <v>0</v>
      </c>
      <c r="W128">
        <v>38</v>
      </c>
      <c r="X128">
        <v>2</v>
      </c>
      <c r="Y128" t="s">
        <v>0</v>
      </c>
      <c r="Z128">
        <v>10.76</v>
      </c>
      <c r="AA128">
        <v>7.46</v>
      </c>
      <c r="AB128" s="1">
        <v>30.669144981412639</v>
      </c>
      <c r="AC128" s="1">
        <v>331006</v>
      </c>
      <c r="AD128" t="s">
        <v>19</v>
      </c>
      <c r="AE128" s="1">
        <v>1.4232737764969217</v>
      </c>
      <c r="AF128" t="s">
        <v>4</v>
      </c>
      <c r="AG128" t="s">
        <v>0</v>
      </c>
      <c r="AH128">
        <v>4</v>
      </c>
      <c r="AI128">
        <v>0</v>
      </c>
      <c r="AJ128" t="s">
        <v>3</v>
      </c>
      <c r="AK128" t="s">
        <v>54</v>
      </c>
      <c r="AL128">
        <v>6</v>
      </c>
      <c r="AM128" t="s">
        <v>0</v>
      </c>
      <c r="AN128" t="s">
        <v>1</v>
      </c>
      <c r="AO128" s="1">
        <v>52.5</v>
      </c>
      <c r="AP128" s="1">
        <v>79.7</v>
      </c>
      <c r="AQ128">
        <v>20.9</v>
      </c>
      <c r="AR128">
        <v>47.8</v>
      </c>
      <c r="AS128" t="s">
        <v>0</v>
      </c>
    </row>
    <row r="129" spans="1:45" x14ac:dyDescent="0.35">
      <c r="A129" t="s">
        <v>103</v>
      </c>
      <c r="B129" t="s">
        <v>52</v>
      </c>
      <c r="C129" t="s">
        <v>84</v>
      </c>
      <c r="D129" t="s">
        <v>83</v>
      </c>
      <c r="E129" t="s">
        <v>13</v>
      </c>
      <c r="F129" t="s">
        <v>98</v>
      </c>
      <c r="G129">
        <v>24</v>
      </c>
      <c r="H129">
        <v>14</v>
      </c>
      <c r="I129" t="s">
        <v>22</v>
      </c>
      <c r="J129" t="s">
        <v>61</v>
      </c>
      <c r="K129" t="s">
        <v>9</v>
      </c>
      <c r="L129" t="s">
        <v>0</v>
      </c>
      <c r="M129" t="s">
        <v>3</v>
      </c>
      <c r="N129" t="s">
        <v>34</v>
      </c>
      <c r="O129" t="s">
        <v>3</v>
      </c>
      <c r="P129" t="s">
        <v>42</v>
      </c>
      <c r="Q129">
        <v>29134</v>
      </c>
      <c r="R129" s="1">
        <v>-17.3</v>
      </c>
      <c r="S129">
        <v>3</v>
      </c>
      <c r="T129">
        <v>49.6</v>
      </c>
      <c r="U129" t="s">
        <v>0</v>
      </c>
      <c r="V129" t="s">
        <v>0</v>
      </c>
      <c r="W129">
        <v>10</v>
      </c>
      <c r="X129">
        <v>3</v>
      </c>
      <c r="Y129" t="s">
        <v>0</v>
      </c>
      <c r="Z129">
        <v>16.98</v>
      </c>
      <c r="AA129">
        <v>11.31</v>
      </c>
      <c r="AB129" s="1">
        <v>33.39222614840989</v>
      </c>
      <c r="AC129" s="1">
        <v>405352</v>
      </c>
      <c r="AD129" t="s">
        <v>19</v>
      </c>
      <c r="AE129" s="1">
        <v>0.8193972807343316</v>
      </c>
      <c r="AF129" t="s">
        <v>4</v>
      </c>
      <c r="AG129" t="s">
        <v>0</v>
      </c>
      <c r="AH129">
        <v>3</v>
      </c>
      <c r="AI129">
        <v>0</v>
      </c>
      <c r="AJ129" t="s">
        <v>3</v>
      </c>
      <c r="AK129" t="s">
        <v>2</v>
      </c>
      <c r="AL129">
        <v>11</v>
      </c>
      <c r="AM129" t="s">
        <v>0</v>
      </c>
      <c r="AN129" t="s">
        <v>1</v>
      </c>
      <c r="AO129" s="1">
        <v>91.6</v>
      </c>
      <c r="AP129" s="1">
        <v>65.8</v>
      </c>
      <c r="AQ129">
        <v>34.1</v>
      </c>
      <c r="AR129">
        <v>68.900000000000006</v>
      </c>
      <c r="AS129" t="s">
        <v>0</v>
      </c>
    </row>
    <row r="130" spans="1:45" x14ac:dyDescent="0.35">
      <c r="A130" t="s">
        <v>102</v>
      </c>
      <c r="B130" t="s">
        <v>101</v>
      </c>
      <c r="C130" t="s">
        <v>84</v>
      </c>
      <c r="D130" t="s">
        <v>90</v>
      </c>
      <c r="E130" t="s">
        <v>24</v>
      </c>
      <c r="F130" t="s">
        <v>95</v>
      </c>
      <c r="G130">
        <v>19</v>
      </c>
      <c r="H130">
        <v>11</v>
      </c>
      <c r="I130" t="s">
        <v>22</v>
      </c>
      <c r="J130" t="s">
        <v>29</v>
      </c>
      <c r="K130" t="s">
        <v>21</v>
      </c>
      <c r="L130" t="s">
        <v>0</v>
      </c>
      <c r="M130" t="s">
        <v>3</v>
      </c>
      <c r="N130" t="s">
        <v>8</v>
      </c>
      <c r="O130" t="s">
        <v>0</v>
      </c>
      <c r="P130" t="s">
        <v>79</v>
      </c>
      <c r="Q130">
        <v>11784</v>
      </c>
      <c r="R130" s="1">
        <v>-3.2</v>
      </c>
      <c r="S130">
        <v>1</v>
      </c>
      <c r="T130">
        <v>41.9</v>
      </c>
      <c r="U130" t="s">
        <v>0</v>
      </c>
      <c r="V130" t="s">
        <v>0</v>
      </c>
      <c r="W130">
        <v>278</v>
      </c>
      <c r="X130">
        <v>1</v>
      </c>
      <c r="Y130" t="s">
        <v>0</v>
      </c>
      <c r="Z130">
        <v>21.19</v>
      </c>
      <c r="AA130">
        <v>12.46</v>
      </c>
      <c r="AB130" s="1">
        <v>41.198678621991505</v>
      </c>
      <c r="AC130" s="1">
        <v>0</v>
      </c>
      <c r="AD130" t="s">
        <v>28</v>
      </c>
      <c r="AE130" s="1">
        <v>0</v>
      </c>
      <c r="AF130" t="s">
        <v>4</v>
      </c>
      <c r="AG130" t="s">
        <v>0</v>
      </c>
      <c r="AH130">
        <v>2</v>
      </c>
      <c r="AI130">
        <v>0</v>
      </c>
      <c r="AJ130" t="s">
        <v>3</v>
      </c>
      <c r="AK130" t="s">
        <v>2</v>
      </c>
      <c r="AL130">
        <v>14</v>
      </c>
      <c r="AM130" t="s">
        <v>0</v>
      </c>
      <c r="AN130" t="s">
        <v>1</v>
      </c>
      <c r="AO130" s="1">
        <v>45.2</v>
      </c>
      <c r="AP130" s="1">
        <v>76.599999999999994</v>
      </c>
      <c r="AQ130">
        <v>14.7</v>
      </c>
      <c r="AR130">
        <v>58.1</v>
      </c>
      <c r="AS130" t="s">
        <v>3</v>
      </c>
    </row>
    <row r="131" spans="1:45" x14ac:dyDescent="0.35">
      <c r="A131" t="s">
        <v>100</v>
      </c>
      <c r="B131" t="s">
        <v>99</v>
      </c>
      <c r="C131" t="s">
        <v>84</v>
      </c>
      <c r="D131" t="s">
        <v>90</v>
      </c>
      <c r="E131" t="s">
        <v>13</v>
      </c>
      <c r="F131" t="s">
        <v>98</v>
      </c>
      <c r="G131">
        <v>24</v>
      </c>
      <c r="H131">
        <v>14</v>
      </c>
      <c r="I131" t="s">
        <v>22</v>
      </c>
      <c r="J131" t="s">
        <v>29</v>
      </c>
      <c r="K131" t="s">
        <v>9</v>
      </c>
      <c r="L131" t="s">
        <v>0</v>
      </c>
      <c r="M131" t="s">
        <v>3</v>
      </c>
      <c r="N131" t="s">
        <v>20</v>
      </c>
      <c r="O131" t="s">
        <v>0</v>
      </c>
      <c r="P131" t="s">
        <v>60</v>
      </c>
      <c r="Q131">
        <v>8439</v>
      </c>
      <c r="R131" s="1">
        <v>29.3</v>
      </c>
      <c r="S131">
        <v>5</v>
      </c>
      <c r="T131">
        <v>53.7</v>
      </c>
      <c r="U131" t="s">
        <v>3</v>
      </c>
      <c r="V131" t="s">
        <v>0</v>
      </c>
      <c r="W131">
        <v>240</v>
      </c>
      <c r="X131">
        <v>2</v>
      </c>
      <c r="Y131" t="s">
        <v>0</v>
      </c>
      <c r="Z131">
        <v>26.37</v>
      </c>
      <c r="AA131">
        <v>9.27</v>
      </c>
      <c r="AB131" s="1">
        <v>64.846416382252556</v>
      </c>
      <c r="AC131" s="1">
        <v>0</v>
      </c>
      <c r="AD131" t="s">
        <v>28</v>
      </c>
      <c r="AE131" s="1">
        <v>0</v>
      </c>
      <c r="AF131" t="s">
        <v>4</v>
      </c>
      <c r="AG131" t="s">
        <v>0</v>
      </c>
      <c r="AH131">
        <v>0</v>
      </c>
      <c r="AI131">
        <v>2</v>
      </c>
      <c r="AJ131" t="s">
        <v>3</v>
      </c>
      <c r="AK131" t="s">
        <v>54</v>
      </c>
      <c r="AL131">
        <v>2</v>
      </c>
      <c r="AM131" t="s">
        <v>0</v>
      </c>
      <c r="AN131" t="s">
        <v>1</v>
      </c>
      <c r="AO131" s="1">
        <v>2.2000000000000002</v>
      </c>
      <c r="AP131" s="1">
        <v>63.1</v>
      </c>
      <c r="AQ131">
        <v>33.700000000000003</v>
      </c>
      <c r="AR131">
        <v>52.6</v>
      </c>
      <c r="AS131" t="s">
        <v>3</v>
      </c>
    </row>
    <row r="132" spans="1:45" x14ac:dyDescent="0.35">
      <c r="A132" t="s">
        <v>97</v>
      </c>
      <c r="B132" t="s">
        <v>96</v>
      </c>
      <c r="C132" t="s">
        <v>84</v>
      </c>
      <c r="D132" t="s">
        <v>90</v>
      </c>
      <c r="E132" t="s">
        <v>38</v>
      </c>
      <c r="F132" t="s">
        <v>95</v>
      </c>
      <c r="G132">
        <v>7</v>
      </c>
      <c r="H132">
        <v>9</v>
      </c>
      <c r="I132" t="s">
        <v>22</v>
      </c>
      <c r="J132" t="s">
        <v>61</v>
      </c>
      <c r="K132" t="s">
        <v>21</v>
      </c>
      <c r="L132" t="s">
        <v>3</v>
      </c>
      <c r="M132" t="s">
        <v>3</v>
      </c>
      <c r="N132" t="s">
        <v>34</v>
      </c>
      <c r="O132" t="s">
        <v>0</v>
      </c>
      <c r="P132" t="s">
        <v>6</v>
      </c>
      <c r="Q132">
        <v>19763</v>
      </c>
      <c r="R132" s="1">
        <v>-11.5</v>
      </c>
      <c r="S132">
        <v>3</v>
      </c>
      <c r="T132">
        <v>50.1</v>
      </c>
      <c r="U132" t="s">
        <v>3</v>
      </c>
      <c r="V132" t="s">
        <v>7</v>
      </c>
      <c r="W132">
        <v>178</v>
      </c>
      <c r="X132">
        <v>3</v>
      </c>
      <c r="Y132" t="s">
        <v>0</v>
      </c>
      <c r="Z132">
        <v>11.07</v>
      </c>
      <c r="AA132">
        <v>5.96</v>
      </c>
      <c r="AB132" s="1">
        <v>46.160794941282745</v>
      </c>
      <c r="AC132" s="1">
        <v>0</v>
      </c>
      <c r="AD132" t="s">
        <v>28</v>
      </c>
      <c r="AE132" s="1">
        <v>0</v>
      </c>
      <c r="AF132" t="s">
        <v>4</v>
      </c>
      <c r="AG132" t="s">
        <v>0</v>
      </c>
      <c r="AH132">
        <v>3</v>
      </c>
      <c r="AI132">
        <v>3</v>
      </c>
      <c r="AJ132" t="s">
        <v>0</v>
      </c>
      <c r="AK132" t="s">
        <v>2</v>
      </c>
      <c r="AL132">
        <v>19</v>
      </c>
      <c r="AM132" t="s">
        <v>0</v>
      </c>
      <c r="AN132" t="s">
        <v>1</v>
      </c>
      <c r="AO132" s="1">
        <v>61.6</v>
      </c>
      <c r="AP132" s="1">
        <v>31.9</v>
      </c>
      <c r="AQ132">
        <v>41.8</v>
      </c>
      <c r="AR132">
        <v>82.8</v>
      </c>
      <c r="AS132" t="s">
        <v>0</v>
      </c>
    </row>
    <row r="133" spans="1:45" x14ac:dyDescent="0.35">
      <c r="A133" t="s">
        <v>94</v>
      </c>
      <c r="B133" t="s">
        <v>93</v>
      </c>
      <c r="C133" t="s">
        <v>84</v>
      </c>
      <c r="D133" t="s">
        <v>87</v>
      </c>
      <c r="E133" t="s">
        <v>13</v>
      </c>
      <c r="F133" t="s">
        <v>56</v>
      </c>
      <c r="G133">
        <v>16</v>
      </c>
      <c r="H133">
        <v>4</v>
      </c>
      <c r="I133" t="s">
        <v>22</v>
      </c>
      <c r="J133" t="s">
        <v>35</v>
      </c>
      <c r="K133" t="s">
        <v>9</v>
      </c>
      <c r="L133" t="s">
        <v>0</v>
      </c>
      <c r="M133" t="s">
        <v>0</v>
      </c>
      <c r="N133" t="s">
        <v>20</v>
      </c>
      <c r="O133" t="s">
        <v>0</v>
      </c>
      <c r="P133" t="s">
        <v>72</v>
      </c>
      <c r="Q133">
        <v>18911</v>
      </c>
      <c r="S133">
        <v>4</v>
      </c>
      <c r="T133">
        <v>36.4</v>
      </c>
      <c r="U133" t="s">
        <v>0</v>
      </c>
      <c r="V133" t="s">
        <v>0</v>
      </c>
      <c r="W133">
        <v>174</v>
      </c>
      <c r="X133">
        <v>2</v>
      </c>
      <c r="Y133" t="s">
        <v>0</v>
      </c>
      <c r="Z133">
        <v>7.18</v>
      </c>
      <c r="AA133">
        <v>3.88</v>
      </c>
      <c r="AB133" s="1">
        <v>45.961002785515319</v>
      </c>
      <c r="AC133" s="1">
        <v>368993</v>
      </c>
      <c r="AD133" t="s">
        <v>5</v>
      </c>
      <c r="AE133" s="1">
        <v>2.7175602945272606</v>
      </c>
      <c r="AF133" t="s">
        <v>4</v>
      </c>
      <c r="AG133" t="s">
        <v>0</v>
      </c>
      <c r="AH133">
        <v>0</v>
      </c>
      <c r="AI133">
        <v>3</v>
      </c>
      <c r="AJ133" t="s">
        <v>0</v>
      </c>
      <c r="AK133" t="s">
        <v>2</v>
      </c>
      <c r="AL133">
        <v>13</v>
      </c>
      <c r="AM133" t="s">
        <v>3</v>
      </c>
      <c r="AN133" t="s">
        <v>1</v>
      </c>
      <c r="AO133" s="1">
        <v>53.3</v>
      </c>
      <c r="AP133" s="1">
        <v>38.1</v>
      </c>
      <c r="AQ133">
        <v>23.6</v>
      </c>
      <c r="AR133">
        <v>77.3</v>
      </c>
      <c r="AS133" t="s">
        <v>0</v>
      </c>
    </row>
    <row r="134" spans="1:45" x14ac:dyDescent="0.35">
      <c r="A134" t="s">
        <v>92</v>
      </c>
      <c r="B134" t="s">
        <v>91</v>
      </c>
      <c r="C134" t="s">
        <v>84</v>
      </c>
      <c r="D134" t="s">
        <v>90</v>
      </c>
      <c r="E134" t="s">
        <v>24</v>
      </c>
      <c r="F134" t="s">
        <v>56</v>
      </c>
      <c r="G134">
        <v>6</v>
      </c>
      <c r="H134">
        <v>11</v>
      </c>
      <c r="I134" t="s">
        <v>11</v>
      </c>
      <c r="J134" t="s">
        <v>61</v>
      </c>
      <c r="K134" t="s">
        <v>9</v>
      </c>
      <c r="L134" t="s">
        <v>0</v>
      </c>
      <c r="M134" t="s">
        <v>3</v>
      </c>
      <c r="N134" t="s">
        <v>8</v>
      </c>
      <c r="O134" t="s">
        <v>0</v>
      </c>
      <c r="P134" t="s">
        <v>42</v>
      </c>
      <c r="Q134">
        <v>9492</v>
      </c>
      <c r="R134" s="1">
        <v>15.5</v>
      </c>
      <c r="S134">
        <v>4</v>
      </c>
      <c r="T134">
        <v>41.4</v>
      </c>
      <c r="U134" t="s">
        <v>3</v>
      </c>
      <c r="V134" t="s">
        <v>0</v>
      </c>
      <c r="W134">
        <v>162</v>
      </c>
      <c r="X134">
        <v>2</v>
      </c>
      <c r="Y134" t="s">
        <v>3</v>
      </c>
      <c r="Z134">
        <v>10.24</v>
      </c>
      <c r="AA134">
        <v>6.92</v>
      </c>
      <c r="AB134" s="1">
        <v>32.421875</v>
      </c>
      <c r="AC134" s="1">
        <v>0</v>
      </c>
      <c r="AD134" t="s">
        <v>28</v>
      </c>
      <c r="AE134" s="1">
        <v>0</v>
      </c>
      <c r="AF134" t="s">
        <v>4</v>
      </c>
      <c r="AG134" t="s">
        <v>0</v>
      </c>
      <c r="AH134">
        <v>0</v>
      </c>
      <c r="AI134">
        <v>0</v>
      </c>
      <c r="AJ134" t="s">
        <v>3</v>
      </c>
      <c r="AK134" t="s">
        <v>2</v>
      </c>
      <c r="AL134">
        <v>21</v>
      </c>
      <c r="AM134" t="s">
        <v>0</v>
      </c>
      <c r="AN134" t="s">
        <v>32</v>
      </c>
      <c r="AO134" s="1">
        <v>75.7</v>
      </c>
      <c r="AP134" s="1">
        <v>56.3</v>
      </c>
      <c r="AQ134">
        <v>25.4</v>
      </c>
      <c r="AR134">
        <v>57.5</v>
      </c>
      <c r="AS134" t="s">
        <v>0</v>
      </c>
    </row>
    <row r="135" spans="1:45" x14ac:dyDescent="0.35">
      <c r="A135" t="s">
        <v>89</v>
      </c>
      <c r="B135" t="s">
        <v>88</v>
      </c>
      <c r="C135" t="s">
        <v>84</v>
      </c>
      <c r="D135" t="s">
        <v>87</v>
      </c>
      <c r="E135" t="s">
        <v>38</v>
      </c>
      <c r="F135" t="s">
        <v>82</v>
      </c>
      <c r="G135">
        <v>23</v>
      </c>
      <c r="H135">
        <v>15</v>
      </c>
      <c r="I135" t="s">
        <v>22</v>
      </c>
      <c r="J135" t="s">
        <v>10</v>
      </c>
      <c r="K135" t="s">
        <v>9</v>
      </c>
      <c r="L135" t="s">
        <v>0</v>
      </c>
      <c r="M135" t="s">
        <v>3</v>
      </c>
      <c r="N135" t="s">
        <v>20</v>
      </c>
      <c r="O135" t="s">
        <v>0</v>
      </c>
      <c r="P135" t="s">
        <v>72</v>
      </c>
      <c r="Q135">
        <v>2532</v>
      </c>
      <c r="R135" s="1">
        <v>16.7</v>
      </c>
      <c r="S135">
        <v>5</v>
      </c>
      <c r="T135">
        <v>44.1</v>
      </c>
      <c r="U135" t="s">
        <v>3</v>
      </c>
      <c r="V135" t="s">
        <v>0</v>
      </c>
      <c r="W135">
        <v>194</v>
      </c>
      <c r="X135">
        <v>3</v>
      </c>
      <c r="Y135" t="s">
        <v>0</v>
      </c>
      <c r="Z135">
        <v>6.03</v>
      </c>
      <c r="AA135">
        <v>3.46</v>
      </c>
      <c r="AB135" s="1">
        <v>42.620232172470978</v>
      </c>
      <c r="AC135" s="1">
        <v>0</v>
      </c>
      <c r="AD135" t="s">
        <v>28</v>
      </c>
      <c r="AE135" s="1">
        <v>0</v>
      </c>
      <c r="AF135" t="s">
        <v>4</v>
      </c>
      <c r="AG135" t="s">
        <v>0</v>
      </c>
      <c r="AH135">
        <v>0</v>
      </c>
      <c r="AI135">
        <v>1</v>
      </c>
      <c r="AJ135" t="s">
        <v>0</v>
      </c>
      <c r="AK135" t="s">
        <v>54</v>
      </c>
      <c r="AL135">
        <v>8</v>
      </c>
      <c r="AM135" t="s">
        <v>0</v>
      </c>
      <c r="AN135" t="s">
        <v>1</v>
      </c>
      <c r="AO135" s="1">
        <v>38.200000000000003</v>
      </c>
      <c r="AP135" s="1">
        <v>48.2</v>
      </c>
      <c r="AQ135">
        <v>34.799999999999997</v>
      </c>
      <c r="AR135">
        <v>68.5</v>
      </c>
      <c r="AS135" t="s">
        <v>3</v>
      </c>
    </row>
    <row r="136" spans="1:45" x14ac:dyDescent="0.35">
      <c r="A136" t="s">
        <v>86</v>
      </c>
      <c r="B136" t="s">
        <v>85</v>
      </c>
      <c r="C136" t="s">
        <v>84</v>
      </c>
      <c r="D136" t="s">
        <v>83</v>
      </c>
      <c r="E136" t="s">
        <v>24</v>
      </c>
      <c r="F136" t="s">
        <v>82</v>
      </c>
      <c r="G136">
        <v>22</v>
      </c>
      <c r="H136">
        <v>7</v>
      </c>
      <c r="I136" t="s">
        <v>22</v>
      </c>
      <c r="J136" t="s">
        <v>10</v>
      </c>
      <c r="K136" t="s">
        <v>21</v>
      </c>
      <c r="L136" t="s">
        <v>3</v>
      </c>
      <c r="M136" t="s">
        <v>0</v>
      </c>
      <c r="N136" t="s">
        <v>34</v>
      </c>
      <c r="O136" t="s">
        <v>3</v>
      </c>
      <c r="P136" t="s">
        <v>60</v>
      </c>
      <c r="Q136">
        <v>29253</v>
      </c>
      <c r="S136">
        <v>5</v>
      </c>
      <c r="T136">
        <v>62.6</v>
      </c>
      <c r="U136" t="s">
        <v>0</v>
      </c>
      <c r="V136" t="s">
        <v>0</v>
      </c>
      <c r="W136">
        <v>237</v>
      </c>
      <c r="X136">
        <v>3</v>
      </c>
      <c r="Y136" t="s">
        <v>0</v>
      </c>
      <c r="Z136">
        <v>37.979999999999997</v>
      </c>
      <c r="AA136">
        <v>19.14</v>
      </c>
      <c r="AB136" s="1">
        <v>49.605055292259074</v>
      </c>
      <c r="AC136" s="1">
        <v>339817</v>
      </c>
      <c r="AD136" t="s">
        <v>5</v>
      </c>
      <c r="AE136" s="1">
        <v>0.30585791941657253</v>
      </c>
      <c r="AF136" t="s">
        <v>4</v>
      </c>
      <c r="AG136" t="s">
        <v>0</v>
      </c>
      <c r="AH136">
        <v>4</v>
      </c>
      <c r="AI136">
        <v>2</v>
      </c>
      <c r="AJ136" t="s">
        <v>0</v>
      </c>
      <c r="AK136" t="s">
        <v>54</v>
      </c>
      <c r="AL136">
        <v>10</v>
      </c>
      <c r="AM136" t="s">
        <v>7</v>
      </c>
      <c r="AN136" t="s">
        <v>32</v>
      </c>
      <c r="AO136" s="1">
        <v>56.8</v>
      </c>
      <c r="AP136" s="1">
        <v>59.3</v>
      </c>
      <c r="AQ136">
        <v>10.1</v>
      </c>
      <c r="AR136">
        <v>68.900000000000006</v>
      </c>
      <c r="AS136" t="s">
        <v>0</v>
      </c>
    </row>
    <row r="137" spans="1:45" x14ac:dyDescent="0.35">
      <c r="A137" t="s">
        <v>81</v>
      </c>
      <c r="B137" t="s">
        <v>80</v>
      </c>
      <c r="C137" t="s">
        <v>45</v>
      </c>
      <c r="D137" t="s">
        <v>57</v>
      </c>
      <c r="E137" t="s">
        <v>24</v>
      </c>
      <c r="F137" t="s">
        <v>66</v>
      </c>
      <c r="G137">
        <v>22</v>
      </c>
      <c r="H137">
        <v>11</v>
      </c>
      <c r="I137" t="s">
        <v>22</v>
      </c>
      <c r="J137" t="s">
        <v>61</v>
      </c>
      <c r="K137" t="s">
        <v>21</v>
      </c>
      <c r="L137" t="s">
        <v>3</v>
      </c>
      <c r="M137" t="s">
        <v>0</v>
      </c>
      <c r="N137" t="s">
        <v>34</v>
      </c>
      <c r="O137" t="s">
        <v>0</v>
      </c>
      <c r="P137" t="s">
        <v>79</v>
      </c>
      <c r="Q137">
        <v>24514</v>
      </c>
      <c r="R137" s="1">
        <v>12.1</v>
      </c>
      <c r="S137">
        <v>1</v>
      </c>
      <c r="T137">
        <v>46.4</v>
      </c>
      <c r="U137" t="s">
        <v>0</v>
      </c>
      <c r="V137" t="s">
        <v>0</v>
      </c>
      <c r="W137">
        <v>245</v>
      </c>
      <c r="X137">
        <v>3</v>
      </c>
      <c r="Y137" t="s">
        <v>0</v>
      </c>
      <c r="Z137">
        <v>22.42</v>
      </c>
      <c r="AA137">
        <v>16.46</v>
      </c>
      <c r="AB137" s="1">
        <v>26.58340767172168</v>
      </c>
      <c r="AC137" s="1">
        <v>0</v>
      </c>
      <c r="AD137" t="s">
        <v>28</v>
      </c>
      <c r="AE137" s="1">
        <v>0</v>
      </c>
      <c r="AF137" t="s">
        <v>4</v>
      </c>
      <c r="AG137" t="s">
        <v>3</v>
      </c>
      <c r="AH137">
        <v>4</v>
      </c>
      <c r="AI137">
        <v>2</v>
      </c>
      <c r="AJ137" t="s">
        <v>3</v>
      </c>
      <c r="AK137" t="s">
        <v>18</v>
      </c>
      <c r="AL137">
        <v>0</v>
      </c>
      <c r="AM137" t="s">
        <v>0</v>
      </c>
      <c r="AN137" t="s">
        <v>48</v>
      </c>
      <c r="AO137" s="1">
        <v>57.3</v>
      </c>
      <c r="AP137" s="1">
        <v>55.9</v>
      </c>
      <c r="AQ137">
        <v>18.100000000000001</v>
      </c>
      <c r="AR137">
        <v>84.2</v>
      </c>
      <c r="AS137" t="s">
        <v>3</v>
      </c>
    </row>
    <row r="138" spans="1:45" x14ac:dyDescent="0.35">
      <c r="A138" t="s">
        <v>78</v>
      </c>
      <c r="B138" t="s">
        <v>77</v>
      </c>
      <c r="C138" t="s">
        <v>45</v>
      </c>
      <c r="D138" t="s">
        <v>57</v>
      </c>
      <c r="E138" t="s">
        <v>38</v>
      </c>
      <c r="F138" t="s">
        <v>66</v>
      </c>
      <c r="G138">
        <v>20</v>
      </c>
      <c r="H138">
        <v>3</v>
      </c>
      <c r="I138" t="s">
        <v>22</v>
      </c>
      <c r="J138" t="s">
        <v>51</v>
      </c>
      <c r="K138" t="s">
        <v>21</v>
      </c>
      <c r="L138" t="s">
        <v>0</v>
      </c>
      <c r="M138" t="s">
        <v>3</v>
      </c>
      <c r="N138" t="s">
        <v>34</v>
      </c>
      <c r="O138" t="s">
        <v>3</v>
      </c>
      <c r="P138" t="s">
        <v>6</v>
      </c>
      <c r="Q138">
        <v>13494</v>
      </c>
      <c r="R138" s="1">
        <v>-4.3</v>
      </c>
      <c r="S138">
        <v>2</v>
      </c>
      <c r="T138">
        <v>47</v>
      </c>
      <c r="U138" t="s">
        <v>0</v>
      </c>
      <c r="V138" t="s">
        <v>0</v>
      </c>
      <c r="W138">
        <v>21</v>
      </c>
      <c r="X138">
        <v>2</v>
      </c>
      <c r="Y138" t="s">
        <v>0</v>
      </c>
      <c r="Z138">
        <v>43.73</v>
      </c>
      <c r="AA138">
        <v>25.72</v>
      </c>
      <c r="AB138" s="1">
        <v>41.184541504687857</v>
      </c>
      <c r="AC138" s="1">
        <v>0</v>
      </c>
      <c r="AD138" t="s">
        <v>28</v>
      </c>
      <c r="AE138" s="1">
        <v>0</v>
      </c>
      <c r="AF138" t="s">
        <v>4</v>
      </c>
      <c r="AG138" t="s">
        <v>0</v>
      </c>
      <c r="AH138">
        <v>3</v>
      </c>
      <c r="AI138">
        <v>3</v>
      </c>
      <c r="AJ138" t="s">
        <v>3</v>
      </c>
      <c r="AK138" t="s">
        <v>2</v>
      </c>
      <c r="AL138">
        <v>18</v>
      </c>
      <c r="AM138" t="s">
        <v>0</v>
      </c>
      <c r="AN138" t="s">
        <v>48</v>
      </c>
      <c r="AO138" s="1">
        <v>57.8</v>
      </c>
      <c r="AP138" s="1">
        <v>68.900000000000006</v>
      </c>
      <c r="AQ138">
        <v>7.4</v>
      </c>
      <c r="AR138">
        <v>55.9</v>
      </c>
      <c r="AS138" t="s">
        <v>0</v>
      </c>
    </row>
    <row r="139" spans="1:45" x14ac:dyDescent="0.35">
      <c r="A139" t="s">
        <v>76</v>
      </c>
      <c r="B139" t="s">
        <v>75</v>
      </c>
      <c r="C139" t="s">
        <v>45</v>
      </c>
      <c r="D139" t="s">
        <v>67</v>
      </c>
      <c r="E139" t="s">
        <v>38</v>
      </c>
      <c r="F139" t="s">
        <v>62</v>
      </c>
      <c r="G139">
        <v>16</v>
      </c>
      <c r="H139">
        <v>5</v>
      </c>
      <c r="I139" t="s">
        <v>22</v>
      </c>
      <c r="J139" t="s">
        <v>61</v>
      </c>
      <c r="K139" t="s">
        <v>9</v>
      </c>
      <c r="L139" t="s">
        <v>0</v>
      </c>
      <c r="M139" t="s">
        <v>0</v>
      </c>
      <c r="N139" t="s">
        <v>34</v>
      </c>
      <c r="O139" t="s">
        <v>3</v>
      </c>
      <c r="P139" t="s">
        <v>42</v>
      </c>
      <c r="Q139">
        <v>2777</v>
      </c>
      <c r="S139">
        <v>4</v>
      </c>
      <c r="T139">
        <v>43.4</v>
      </c>
      <c r="U139" t="s">
        <v>3</v>
      </c>
      <c r="V139" t="s">
        <v>0</v>
      </c>
      <c r="W139">
        <v>26</v>
      </c>
      <c r="X139">
        <v>1</v>
      </c>
      <c r="Y139" t="s">
        <v>0</v>
      </c>
      <c r="Z139">
        <v>30.86</v>
      </c>
      <c r="AA139">
        <v>22.6</v>
      </c>
      <c r="AB139" s="1">
        <v>26.766040181464675</v>
      </c>
      <c r="AC139" s="1">
        <v>734434</v>
      </c>
      <c r="AD139" t="s">
        <v>19</v>
      </c>
      <c r="AE139" s="1">
        <v>8.5700029708901777</v>
      </c>
      <c r="AF139" t="s">
        <v>4</v>
      </c>
      <c r="AG139" t="s">
        <v>0</v>
      </c>
      <c r="AH139">
        <v>2</v>
      </c>
      <c r="AI139">
        <v>3</v>
      </c>
      <c r="AJ139" t="s">
        <v>0</v>
      </c>
      <c r="AK139" t="s">
        <v>54</v>
      </c>
      <c r="AL139">
        <v>5</v>
      </c>
      <c r="AM139" t="s">
        <v>0</v>
      </c>
      <c r="AN139" t="s">
        <v>48</v>
      </c>
      <c r="AO139" s="1">
        <v>52</v>
      </c>
      <c r="AP139" s="1">
        <v>57.4</v>
      </c>
      <c r="AQ139">
        <v>49.7</v>
      </c>
      <c r="AR139">
        <v>58.8</v>
      </c>
      <c r="AS139" t="s">
        <v>3</v>
      </c>
    </row>
    <row r="140" spans="1:45" x14ac:dyDescent="0.35">
      <c r="A140" t="s">
        <v>74</v>
      </c>
      <c r="B140" t="s">
        <v>73</v>
      </c>
      <c r="C140" t="s">
        <v>45</v>
      </c>
      <c r="D140" t="s">
        <v>67</v>
      </c>
      <c r="E140" t="s">
        <v>24</v>
      </c>
      <c r="F140" t="s">
        <v>66</v>
      </c>
      <c r="G140">
        <v>2</v>
      </c>
      <c r="H140">
        <v>1</v>
      </c>
      <c r="I140" t="s">
        <v>11</v>
      </c>
      <c r="J140" t="s">
        <v>10</v>
      </c>
      <c r="K140" t="s">
        <v>21</v>
      </c>
      <c r="L140" t="s">
        <v>0</v>
      </c>
      <c r="M140" t="s">
        <v>3</v>
      </c>
      <c r="N140" t="s">
        <v>8</v>
      </c>
      <c r="O140" t="s">
        <v>3</v>
      </c>
      <c r="P140" t="s">
        <v>72</v>
      </c>
      <c r="Q140">
        <v>16209</v>
      </c>
      <c r="R140" s="1">
        <v>37</v>
      </c>
      <c r="S140">
        <v>1</v>
      </c>
      <c r="T140">
        <v>97</v>
      </c>
      <c r="U140" t="s">
        <v>3</v>
      </c>
      <c r="V140" t="s">
        <v>0</v>
      </c>
      <c r="W140">
        <v>71</v>
      </c>
      <c r="X140">
        <v>2</v>
      </c>
      <c r="Y140" t="s">
        <v>0</v>
      </c>
      <c r="Z140">
        <v>41.1</v>
      </c>
      <c r="AA140">
        <v>23.69</v>
      </c>
      <c r="AB140" s="1">
        <v>42.360097323600968</v>
      </c>
      <c r="AC140" s="1">
        <v>0</v>
      </c>
      <c r="AD140" t="s">
        <v>28</v>
      </c>
      <c r="AE140" s="1">
        <v>0</v>
      </c>
      <c r="AF140" t="s">
        <v>4</v>
      </c>
      <c r="AG140" t="s">
        <v>0</v>
      </c>
      <c r="AH140">
        <v>2</v>
      </c>
      <c r="AI140">
        <v>2</v>
      </c>
      <c r="AJ140" t="s">
        <v>0</v>
      </c>
      <c r="AK140" t="s">
        <v>54</v>
      </c>
      <c r="AL140">
        <v>3</v>
      </c>
      <c r="AM140" t="s">
        <v>0</v>
      </c>
      <c r="AN140" t="s">
        <v>1</v>
      </c>
      <c r="AO140" s="1">
        <v>76.900000000000006</v>
      </c>
      <c r="AP140" s="1">
        <v>58.5</v>
      </c>
      <c r="AQ140">
        <v>35</v>
      </c>
      <c r="AR140">
        <v>86.2</v>
      </c>
      <c r="AS140" t="s">
        <v>3</v>
      </c>
    </row>
    <row r="141" spans="1:45" x14ac:dyDescent="0.35">
      <c r="A141" t="s">
        <v>71</v>
      </c>
      <c r="B141" t="s">
        <v>70</v>
      </c>
      <c r="C141" t="s">
        <v>45</v>
      </c>
      <c r="D141" t="s">
        <v>67</v>
      </c>
      <c r="E141" t="s">
        <v>38</v>
      </c>
      <c r="F141" t="s">
        <v>62</v>
      </c>
      <c r="G141">
        <v>16</v>
      </c>
      <c r="H141">
        <v>15</v>
      </c>
      <c r="I141" t="s">
        <v>22</v>
      </c>
      <c r="J141" t="s">
        <v>61</v>
      </c>
      <c r="K141" t="s">
        <v>9</v>
      </c>
      <c r="L141" t="s">
        <v>3</v>
      </c>
      <c r="M141" t="s">
        <v>0</v>
      </c>
      <c r="N141" t="s">
        <v>34</v>
      </c>
      <c r="O141" t="s">
        <v>3</v>
      </c>
      <c r="P141" t="s">
        <v>42</v>
      </c>
      <c r="Q141">
        <v>1</v>
      </c>
      <c r="R141" s="1">
        <v>18.7</v>
      </c>
      <c r="S141">
        <v>1</v>
      </c>
      <c r="T141">
        <v>35</v>
      </c>
      <c r="U141" t="s">
        <v>0</v>
      </c>
      <c r="V141" t="s">
        <v>0</v>
      </c>
      <c r="W141">
        <v>116</v>
      </c>
      <c r="X141">
        <v>3</v>
      </c>
      <c r="Y141" t="s">
        <v>0</v>
      </c>
      <c r="Z141">
        <v>41.59</v>
      </c>
      <c r="AA141">
        <v>26.46</v>
      </c>
      <c r="AB141" s="1">
        <v>36.378937244529943</v>
      </c>
      <c r="AC141" s="1">
        <v>58336</v>
      </c>
      <c r="AD141" t="s">
        <v>49</v>
      </c>
      <c r="AE141" s="1">
        <v>1402.6448665544599</v>
      </c>
      <c r="AF141" t="s">
        <v>4</v>
      </c>
      <c r="AG141" t="s">
        <v>3</v>
      </c>
      <c r="AH141">
        <v>3</v>
      </c>
      <c r="AI141">
        <v>1</v>
      </c>
      <c r="AJ141" t="s">
        <v>3</v>
      </c>
      <c r="AK141" t="s">
        <v>2</v>
      </c>
      <c r="AL141">
        <v>22</v>
      </c>
      <c r="AM141" t="s">
        <v>0</v>
      </c>
      <c r="AN141" t="s">
        <v>48</v>
      </c>
      <c r="AO141" s="1">
        <v>70</v>
      </c>
      <c r="AP141" s="1">
        <v>73.3</v>
      </c>
      <c r="AQ141">
        <v>30.9</v>
      </c>
      <c r="AR141">
        <v>70.900000000000006</v>
      </c>
      <c r="AS141" t="s">
        <v>0</v>
      </c>
    </row>
    <row r="142" spans="1:45" x14ac:dyDescent="0.35">
      <c r="A142" t="s">
        <v>69</v>
      </c>
      <c r="B142" t="s">
        <v>68</v>
      </c>
      <c r="C142" t="s">
        <v>45</v>
      </c>
      <c r="D142" t="s">
        <v>67</v>
      </c>
      <c r="E142" t="s">
        <v>24</v>
      </c>
      <c r="F142" t="s">
        <v>66</v>
      </c>
      <c r="G142">
        <v>19</v>
      </c>
      <c r="H142">
        <v>9</v>
      </c>
      <c r="I142" t="s">
        <v>22</v>
      </c>
      <c r="J142" t="s">
        <v>29</v>
      </c>
      <c r="K142" t="s">
        <v>21</v>
      </c>
      <c r="L142" t="s">
        <v>0</v>
      </c>
      <c r="M142" t="s">
        <v>0</v>
      </c>
      <c r="N142" t="s">
        <v>34</v>
      </c>
      <c r="O142" t="s">
        <v>0</v>
      </c>
      <c r="P142" t="s">
        <v>50</v>
      </c>
      <c r="Q142">
        <v>21846</v>
      </c>
      <c r="R142" s="1">
        <v>4</v>
      </c>
      <c r="S142">
        <v>1</v>
      </c>
      <c r="T142">
        <v>42.8</v>
      </c>
      <c r="U142" t="s">
        <v>0</v>
      </c>
      <c r="V142" t="s">
        <v>0</v>
      </c>
      <c r="W142">
        <v>179</v>
      </c>
      <c r="X142">
        <v>1</v>
      </c>
      <c r="Y142" t="s">
        <v>0</v>
      </c>
      <c r="Z142">
        <v>35.659999999999997</v>
      </c>
      <c r="AA142">
        <v>16.62</v>
      </c>
      <c r="AB142" s="1">
        <v>53.393157599551309</v>
      </c>
      <c r="AC142" s="1">
        <v>443580</v>
      </c>
      <c r="AD142" t="s">
        <v>65</v>
      </c>
      <c r="AE142" s="1">
        <v>0.56940160689400332</v>
      </c>
      <c r="AF142" t="s">
        <v>4</v>
      </c>
      <c r="AG142" t="s">
        <v>0</v>
      </c>
      <c r="AH142">
        <v>0</v>
      </c>
      <c r="AI142">
        <v>2</v>
      </c>
      <c r="AJ142" t="s">
        <v>0</v>
      </c>
      <c r="AK142" t="s">
        <v>54</v>
      </c>
      <c r="AL142">
        <v>3</v>
      </c>
      <c r="AM142" t="s">
        <v>0</v>
      </c>
      <c r="AN142" t="s">
        <v>48</v>
      </c>
      <c r="AO142" s="1">
        <v>14</v>
      </c>
      <c r="AP142" s="1">
        <v>23.5</v>
      </c>
      <c r="AQ142">
        <v>37.4</v>
      </c>
      <c r="AR142">
        <v>75.599999999999994</v>
      </c>
      <c r="AS142" t="s">
        <v>0</v>
      </c>
    </row>
    <row r="143" spans="1:45" x14ac:dyDescent="0.35">
      <c r="A143" t="s">
        <v>64</v>
      </c>
      <c r="B143" t="s">
        <v>63</v>
      </c>
      <c r="C143" t="s">
        <v>45</v>
      </c>
      <c r="D143" t="s">
        <v>57</v>
      </c>
      <c r="E143" t="s">
        <v>13</v>
      </c>
      <c r="F143" t="s">
        <v>62</v>
      </c>
      <c r="G143">
        <v>7</v>
      </c>
      <c r="H143">
        <v>13</v>
      </c>
      <c r="I143" t="s">
        <v>22</v>
      </c>
      <c r="J143" t="s">
        <v>61</v>
      </c>
      <c r="K143" t="s">
        <v>21</v>
      </c>
      <c r="L143" t="s">
        <v>3</v>
      </c>
      <c r="M143" t="s">
        <v>0</v>
      </c>
      <c r="N143" t="s">
        <v>34</v>
      </c>
      <c r="O143" t="s">
        <v>7</v>
      </c>
      <c r="P143" t="s">
        <v>60</v>
      </c>
      <c r="Q143">
        <v>39968</v>
      </c>
      <c r="R143" s="1">
        <v>-6</v>
      </c>
      <c r="S143">
        <v>1</v>
      </c>
      <c r="T143">
        <v>31.3</v>
      </c>
      <c r="U143" t="s">
        <v>3</v>
      </c>
      <c r="V143" t="s">
        <v>0</v>
      </c>
      <c r="W143">
        <v>246</v>
      </c>
      <c r="X143">
        <v>3</v>
      </c>
      <c r="Y143" t="s">
        <v>3</v>
      </c>
      <c r="Z143">
        <v>33.35</v>
      </c>
      <c r="AA143">
        <v>13.41</v>
      </c>
      <c r="AB143" s="1">
        <v>59.790104947526231</v>
      </c>
      <c r="AC143" s="1">
        <v>39966</v>
      </c>
      <c r="AD143" t="s">
        <v>19</v>
      </c>
      <c r="AE143" s="1">
        <v>2.9983507045516472E-2</v>
      </c>
      <c r="AF143" t="s">
        <v>4</v>
      </c>
      <c r="AG143" t="s">
        <v>0</v>
      </c>
      <c r="AH143">
        <v>4</v>
      </c>
      <c r="AI143">
        <v>0</v>
      </c>
      <c r="AJ143" t="s">
        <v>0</v>
      </c>
      <c r="AK143" t="s">
        <v>2</v>
      </c>
      <c r="AL143">
        <v>9</v>
      </c>
      <c r="AM143" t="s">
        <v>0</v>
      </c>
      <c r="AN143" t="s">
        <v>48</v>
      </c>
      <c r="AO143" s="1">
        <v>6.3</v>
      </c>
      <c r="AP143" s="1">
        <v>24.2</v>
      </c>
      <c r="AQ143">
        <v>20.2</v>
      </c>
      <c r="AR143">
        <v>90.2</v>
      </c>
      <c r="AS143" t="s">
        <v>0</v>
      </c>
    </row>
    <row r="144" spans="1:45" x14ac:dyDescent="0.35">
      <c r="A144" t="s">
        <v>59</v>
      </c>
      <c r="B144" t="s">
        <v>58</v>
      </c>
      <c r="C144" t="s">
        <v>45</v>
      </c>
      <c r="D144" t="s">
        <v>57</v>
      </c>
      <c r="E144" t="s">
        <v>38</v>
      </c>
      <c r="F144" t="s">
        <v>56</v>
      </c>
      <c r="G144">
        <v>3</v>
      </c>
      <c r="H144">
        <v>2</v>
      </c>
      <c r="I144" t="s">
        <v>22</v>
      </c>
      <c r="J144" t="s">
        <v>35</v>
      </c>
      <c r="K144" t="s">
        <v>9</v>
      </c>
      <c r="L144" t="s">
        <v>0</v>
      </c>
      <c r="M144" t="s">
        <v>0</v>
      </c>
      <c r="N144" t="s">
        <v>55</v>
      </c>
      <c r="O144" t="s">
        <v>0</v>
      </c>
      <c r="P144" t="s">
        <v>42</v>
      </c>
      <c r="Q144">
        <v>13013</v>
      </c>
      <c r="R144" s="1">
        <v>21.8</v>
      </c>
      <c r="S144">
        <v>5</v>
      </c>
      <c r="T144">
        <v>35.799999999999997</v>
      </c>
      <c r="U144" t="s">
        <v>3</v>
      </c>
      <c r="V144" t="s">
        <v>0</v>
      </c>
      <c r="W144">
        <v>73</v>
      </c>
      <c r="X144">
        <v>1</v>
      </c>
      <c r="Y144" t="s">
        <v>0</v>
      </c>
      <c r="Z144">
        <v>30.66</v>
      </c>
      <c r="AA144">
        <v>15.34</v>
      </c>
      <c r="AB144" s="1">
        <v>49.967384213959562</v>
      </c>
      <c r="AC144" s="1">
        <v>703702</v>
      </c>
      <c r="AD144" t="s">
        <v>19</v>
      </c>
      <c r="AE144" s="1">
        <v>1.7637588464022302</v>
      </c>
      <c r="AF144" t="s">
        <v>7</v>
      </c>
      <c r="AG144" t="s">
        <v>0</v>
      </c>
      <c r="AH144">
        <v>4</v>
      </c>
      <c r="AI144">
        <v>2</v>
      </c>
      <c r="AJ144" t="s">
        <v>0</v>
      </c>
      <c r="AK144" t="s">
        <v>54</v>
      </c>
      <c r="AL144">
        <v>9</v>
      </c>
      <c r="AM144" t="s">
        <v>3</v>
      </c>
      <c r="AN144" t="s">
        <v>1</v>
      </c>
      <c r="AO144" s="1">
        <v>52.3</v>
      </c>
      <c r="AP144" s="1">
        <v>38.799999999999997</v>
      </c>
      <c r="AQ144">
        <v>47.2</v>
      </c>
      <c r="AR144">
        <v>76.599999999999994</v>
      </c>
      <c r="AS144" t="s">
        <v>3</v>
      </c>
    </row>
    <row r="145" spans="1:45" x14ac:dyDescent="0.35">
      <c r="A145" t="s">
        <v>53</v>
      </c>
      <c r="B145" t="s">
        <v>52</v>
      </c>
      <c r="C145" t="s">
        <v>45</v>
      </c>
      <c r="D145" t="s">
        <v>44</v>
      </c>
      <c r="E145" t="s">
        <v>38</v>
      </c>
      <c r="F145" t="s">
        <v>43</v>
      </c>
      <c r="G145">
        <v>20</v>
      </c>
      <c r="H145">
        <v>6</v>
      </c>
      <c r="I145" t="s">
        <v>22</v>
      </c>
      <c r="J145" t="s">
        <v>51</v>
      </c>
      <c r="K145" t="s">
        <v>9</v>
      </c>
      <c r="L145" t="s">
        <v>0</v>
      </c>
      <c r="M145" t="s">
        <v>3</v>
      </c>
      <c r="N145" t="s">
        <v>34</v>
      </c>
      <c r="O145" t="s">
        <v>0</v>
      </c>
      <c r="P145" t="s">
        <v>50</v>
      </c>
      <c r="Q145">
        <v>15638</v>
      </c>
      <c r="R145" s="1">
        <v>-3.4</v>
      </c>
      <c r="S145">
        <v>2</v>
      </c>
      <c r="T145">
        <v>33.9</v>
      </c>
      <c r="U145" t="s">
        <v>3</v>
      </c>
      <c r="V145" t="s">
        <v>0</v>
      </c>
      <c r="W145">
        <v>247</v>
      </c>
      <c r="X145">
        <v>2</v>
      </c>
      <c r="Y145" t="s">
        <v>0</v>
      </c>
      <c r="Z145">
        <v>32.14</v>
      </c>
      <c r="AA145">
        <v>11.8</v>
      </c>
      <c r="AB145" s="1">
        <v>63.285625388923464</v>
      </c>
      <c r="AC145" s="1">
        <v>228052</v>
      </c>
      <c r="AD145" t="s">
        <v>49</v>
      </c>
      <c r="AE145" s="1">
        <v>0.45373972563601195</v>
      </c>
      <c r="AF145" t="s">
        <v>4</v>
      </c>
      <c r="AG145" t="s">
        <v>0</v>
      </c>
      <c r="AH145">
        <v>3</v>
      </c>
      <c r="AI145">
        <v>0</v>
      </c>
      <c r="AJ145" t="s">
        <v>3</v>
      </c>
      <c r="AK145" t="s">
        <v>2</v>
      </c>
      <c r="AL145">
        <v>19</v>
      </c>
      <c r="AM145" t="s">
        <v>7</v>
      </c>
      <c r="AN145" t="s">
        <v>48</v>
      </c>
      <c r="AO145" s="1">
        <v>78.5</v>
      </c>
      <c r="AP145" s="1">
        <v>44</v>
      </c>
      <c r="AQ145">
        <v>10.199999999999999</v>
      </c>
      <c r="AR145">
        <v>93.7</v>
      </c>
      <c r="AS145" t="s">
        <v>0</v>
      </c>
    </row>
    <row r="146" spans="1:45" x14ac:dyDescent="0.35">
      <c r="A146" t="s">
        <v>47</v>
      </c>
      <c r="B146" t="s">
        <v>46</v>
      </c>
      <c r="C146" t="s">
        <v>45</v>
      </c>
      <c r="D146" t="s">
        <v>44</v>
      </c>
      <c r="E146" t="s">
        <v>13</v>
      </c>
      <c r="F146" t="s">
        <v>43</v>
      </c>
      <c r="G146">
        <v>13</v>
      </c>
      <c r="H146">
        <v>15</v>
      </c>
      <c r="I146" t="s">
        <v>22</v>
      </c>
      <c r="J146" t="s">
        <v>10</v>
      </c>
      <c r="K146" t="s">
        <v>9</v>
      </c>
      <c r="L146" t="s">
        <v>0</v>
      </c>
      <c r="M146" t="s">
        <v>3</v>
      </c>
      <c r="N146" t="s">
        <v>8</v>
      </c>
      <c r="O146" t="s">
        <v>0</v>
      </c>
      <c r="P146" t="s">
        <v>42</v>
      </c>
      <c r="Q146">
        <v>33746</v>
      </c>
      <c r="R146" s="1">
        <v>-16.7</v>
      </c>
      <c r="S146">
        <v>4</v>
      </c>
      <c r="T146">
        <v>35.1</v>
      </c>
      <c r="U146" t="s">
        <v>0</v>
      </c>
      <c r="V146" t="s">
        <v>0</v>
      </c>
      <c r="W146">
        <v>237</v>
      </c>
      <c r="X146">
        <v>1</v>
      </c>
      <c r="Y146" t="s">
        <v>0</v>
      </c>
      <c r="Z146">
        <v>11.32</v>
      </c>
      <c r="AA146">
        <v>7.22</v>
      </c>
      <c r="AB146" s="1">
        <v>36.219081272084807</v>
      </c>
      <c r="AC146" s="1">
        <v>780445</v>
      </c>
      <c r="AD146" t="s">
        <v>19</v>
      </c>
      <c r="AE146" s="1">
        <v>2.0430244945664544</v>
      </c>
      <c r="AF146" t="s">
        <v>4</v>
      </c>
      <c r="AG146" t="s">
        <v>0</v>
      </c>
      <c r="AH146">
        <v>2</v>
      </c>
      <c r="AI146">
        <v>1</v>
      </c>
      <c r="AJ146" t="s">
        <v>0</v>
      </c>
      <c r="AK146" t="s">
        <v>2</v>
      </c>
      <c r="AL146">
        <v>21</v>
      </c>
      <c r="AM146" t="s">
        <v>0</v>
      </c>
      <c r="AN146" t="s">
        <v>1</v>
      </c>
      <c r="AO146" s="1">
        <v>22</v>
      </c>
      <c r="AP146" s="1">
        <v>30.7</v>
      </c>
      <c r="AQ146">
        <v>12.1</v>
      </c>
      <c r="AR146">
        <v>87.7</v>
      </c>
      <c r="AS146" t="s">
        <v>0</v>
      </c>
    </row>
    <row r="147" spans="1:45" x14ac:dyDescent="0.35">
      <c r="A147" t="s">
        <v>41</v>
      </c>
      <c r="B147" t="s">
        <v>40</v>
      </c>
      <c r="C147" t="s">
        <v>15</v>
      </c>
      <c r="D147" t="s">
        <v>39</v>
      </c>
      <c r="E147" t="s">
        <v>38</v>
      </c>
      <c r="F147" t="s">
        <v>23</v>
      </c>
      <c r="G147">
        <v>24</v>
      </c>
      <c r="H147">
        <v>32</v>
      </c>
      <c r="I147" t="s">
        <v>22</v>
      </c>
      <c r="J147" t="s">
        <v>35</v>
      </c>
      <c r="K147" t="s">
        <v>9</v>
      </c>
      <c r="L147" t="s">
        <v>3</v>
      </c>
      <c r="M147" t="s">
        <v>3</v>
      </c>
      <c r="N147" t="s">
        <v>34</v>
      </c>
      <c r="O147" t="s">
        <v>3</v>
      </c>
      <c r="P147" t="s">
        <v>6</v>
      </c>
      <c r="Q147">
        <v>76917</v>
      </c>
      <c r="R147" s="1">
        <v>14.8</v>
      </c>
      <c r="S147">
        <v>5</v>
      </c>
      <c r="T147">
        <v>38.700000000000003</v>
      </c>
      <c r="U147" t="s">
        <v>0</v>
      </c>
      <c r="V147" t="s">
        <v>0</v>
      </c>
      <c r="W147">
        <v>7</v>
      </c>
      <c r="X147">
        <v>4</v>
      </c>
      <c r="Y147" t="s">
        <v>0</v>
      </c>
      <c r="Z147">
        <v>7.56</v>
      </c>
      <c r="AA147">
        <v>4.07</v>
      </c>
      <c r="AB147" s="1">
        <v>46.164021164021158</v>
      </c>
      <c r="AC147" s="1">
        <v>0</v>
      </c>
      <c r="AD147" t="s">
        <v>19</v>
      </c>
      <c r="AE147" s="1">
        <v>0</v>
      </c>
      <c r="AF147" t="s">
        <v>7</v>
      </c>
      <c r="AG147" t="s">
        <v>0</v>
      </c>
      <c r="AH147">
        <v>3</v>
      </c>
      <c r="AI147">
        <v>0</v>
      </c>
      <c r="AJ147" t="s">
        <v>3</v>
      </c>
      <c r="AK147" t="s">
        <v>18</v>
      </c>
      <c r="AL147">
        <v>0</v>
      </c>
      <c r="AM147" t="s">
        <v>3</v>
      </c>
      <c r="AN147" t="s">
        <v>32</v>
      </c>
      <c r="AO147" s="1">
        <v>69.3</v>
      </c>
      <c r="AP147" s="1">
        <v>38.5</v>
      </c>
      <c r="AQ147">
        <v>14.8</v>
      </c>
      <c r="AR147">
        <v>61.5</v>
      </c>
      <c r="AS147" t="s">
        <v>3</v>
      </c>
    </row>
    <row r="148" spans="1:45" x14ac:dyDescent="0.35">
      <c r="A148" t="s">
        <v>37</v>
      </c>
      <c r="B148" t="s">
        <v>36</v>
      </c>
      <c r="C148" t="s">
        <v>15</v>
      </c>
      <c r="D148" t="s">
        <v>14</v>
      </c>
      <c r="E148" t="s">
        <v>13</v>
      </c>
      <c r="F148" t="s">
        <v>12</v>
      </c>
      <c r="G148">
        <v>15</v>
      </c>
      <c r="H148">
        <v>13</v>
      </c>
      <c r="I148" t="s">
        <v>22</v>
      </c>
      <c r="J148" t="s">
        <v>35</v>
      </c>
      <c r="K148" t="s">
        <v>21</v>
      </c>
      <c r="L148" t="s">
        <v>0</v>
      </c>
      <c r="M148" t="s">
        <v>0</v>
      </c>
      <c r="N148" t="s">
        <v>34</v>
      </c>
      <c r="O148" t="s">
        <v>3</v>
      </c>
      <c r="P148" t="s">
        <v>6</v>
      </c>
      <c r="Q148">
        <v>102157</v>
      </c>
      <c r="R148" s="1">
        <v>7.9</v>
      </c>
      <c r="S148">
        <v>1</v>
      </c>
      <c r="T148">
        <v>36.5</v>
      </c>
      <c r="U148" t="s">
        <v>3</v>
      </c>
      <c r="V148" t="s">
        <v>0</v>
      </c>
      <c r="W148">
        <v>175</v>
      </c>
      <c r="X148">
        <v>5</v>
      </c>
      <c r="Y148" t="s">
        <v>3</v>
      </c>
      <c r="Z148">
        <v>22.61</v>
      </c>
      <c r="AA148">
        <v>10.35</v>
      </c>
      <c r="AB148" s="1">
        <v>54.223794781070325</v>
      </c>
      <c r="AC148" s="1">
        <v>0</v>
      </c>
      <c r="AD148" t="s">
        <v>28</v>
      </c>
      <c r="AE148" s="1">
        <v>0</v>
      </c>
      <c r="AF148" t="s">
        <v>33</v>
      </c>
      <c r="AG148" t="s">
        <v>0</v>
      </c>
      <c r="AH148">
        <v>0</v>
      </c>
      <c r="AI148">
        <v>2</v>
      </c>
      <c r="AJ148" t="s">
        <v>0</v>
      </c>
      <c r="AK148" t="s">
        <v>2</v>
      </c>
      <c r="AL148">
        <v>16</v>
      </c>
      <c r="AM148" t="s">
        <v>0</v>
      </c>
      <c r="AN148" t="s">
        <v>32</v>
      </c>
      <c r="AO148" s="1">
        <v>11.1</v>
      </c>
      <c r="AP148" s="1">
        <v>35.6</v>
      </c>
      <c r="AQ148">
        <v>32.9</v>
      </c>
      <c r="AR148">
        <v>61.9</v>
      </c>
      <c r="AS148" t="s">
        <v>3</v>
      </c>
    </row>
    <row r="149" spans="1:45" x14ac:dyDescent="0.35">
      <c r="A149" t="s">
        <v>31</v>
      </c>
      <c r="B149" t="s">
        <v>30</v>
      </c>
      <c r="C149" t="s">
        <v>15</v>
      </c>
      <c r="D149" t="s">
        <v>25</v>
      </c>
      <c r="E149" t="s">
        <v>13</v>
      </c>
      <c r="F149" t="s">
        <v>12</v>
      </c>
      <c r="G149">
        <v>25</v>
      </c>
      <c r="H149">
        <v>19</v>
      </c>
      <c r="I149" t="s">
        <v>22</v>
      </c>
      <c r="J149" t="s">
        <v>29</v>
      </c>
      <c r="K149" t="s">
        <v>21</v>
      </c>
      <c r="L149" t="s">
        <v>0</v>
      </c>
      <c r="M149" t="s">
        <v>0</v>
      </c>
      <c r="N149" t="s">
        <v>8</v>
      </c>
      <c r="O149" t="s">
        <v>0</v>
      </c>
      <c r="P149" t="s">
        <v>6</v>
      </c>
      <c r="Q149">
        <v>86003</v>
      </c>
      <c r="R149" s="1">
        <v>20.8</v>
      </c>
      <c r="S149">
        <v>3</v>
      </c>
      <c r="T149">
        <v>16.399999999999999</v>
      </c>
      <c r="U149" t="s">
        <v>3</v>
      </c>
      <c r="V149" t="s">
        <v>0</v>
      </c>
      <c r="W149">
        <v>261</v>
      </c>
      <c r="X149">
        <v>5</v>
      </c>
      <c r="Y149" t="s">
        <v>0</v>
      </c>
      <c r="Z149">
        <v>24.34</v>
      </c>
      <c r="AA149">
        <v>13.7</v>
      </c>
      <c r="AB149" s="1">
        <v>43.714050944946592</v>
      </c>
      <c r="AC149" s="1">
        <v>0</v>
      </c>
      <c r="AD149" t="s">
        <v>28</v>
      </c>
      <c r="AE149" s="1">
        <v>0</v>
      </c>
      <c r="AF149" t="s">
        <v>4</v>
      </c>
      <c r="AG149" t="s">
        <v>0</v>
      </c>
      <c r="AH149">
        <v>2</v>
      </c>
      <c r="AI149">
        <v>0</v>
      </c>
      <c r="AJ149" t="s">
        <v>0</v>
      </c>
      <c r="AK149" t="s">
        <v>2</v>
      </c>
      <c r="AL149">
        <v>22</v>
      </c>
      <c r="AM149" t="s">
        <v>3</v>
      </c>
      <c r="AN149" t="s">
        <v>1</v>
      </c>
      <c r="AO149" s="1">
        <v>89.8</v>
      </c>
      <c r="AP149" s="1">
        <v>30.2</v>
      </c>
      <c r="AQ149">
        <v>48</v>
      </c>
      <c r="AR149">
        <v>46.6</v>
      </c>
      <c r="AS149" t="s">
        <v>3</v>
      </c>
    </row>
    <row r="150" spans="1:45" x14ac:dyDescent="0.35">
      <c r="A150" t="s">
        <v>27</v>
      </c>
      <c r="B150" t="s">
        <v>26</v>
      </c>
      <c r="C150" t="s">
        <v>15</v>
      </c>
      <c r="D150" t="s">
        <v>25</v>
      </c>
      <c r="E150" t="s">
        <v>24</v>
      </c>
      <c r="F150" t="s">
        <v>23</v>
      </c>
      <c r="G150">
        <v>12</v>
      </c>
      <c r="H150">
        <v>31</v>
      </c>
      <c r="I150" t="s">
        <v>22</v>
      </c>
      <c r="J150" t="s">
        <v>10</v>
      </c>
      <c r="K150" t="s">
        <v>21</v>
      </c>
      <c r="L150" t="s">
        <v>3</v>
      </c>
      <c r="M150" t="s">
        <v>3</v>
      </c>
      <c r="N150" t="s">
        <v>20</v>
      </c>
      <c r="O150" t="s">
        <v>0</v>
      </c>
      <c r="P150" t="s">
        <v>6</v>
      </c>
      <c r="Q150">
        <v>44780</v>
      </c>
      <c r="R150" s="1">
        <v>-16.2</v>
      </c>
      <c r="S150">
        <v>2</v>
      </c>
      <c r="T150">
        <v>35.9</v>
      </c>
      <c r="U150" t="s">
        <v>3</v>
      </c>
      <c r="V150" t="s">
        <v>3</v>
      </c>
      <c r="W150">
        <v>180</v>
      </c>
      <c r="X150">
        <v>6</v>
      </c>
      <c r="Y150" t="s">
        <v>0</v>
      </c>
      <c r="Z150">
        <v>18.73</v>
      </c>
      <c r="AA150">
        <v>11</v>
      </c>
      <c r="AB150" s="1">
        <v>41.270688734650292</v>
      </c>
      <c r="AC150" s="1">
        <v>0</v>
      </c>
      <c r="AD150" t="s">
        <v>19</v>
      </c>
      <c r="AE150" s="1">
        <v>0</v>
      </c>
      <c r="AF150" t="s">
        <v>4</v>
      </c>
      <c r="AG150" t="s">
        <v>0</v>
      </c>
      <c r="AH150">
        <v>2</v>
      </c>
      <c r="AI150">
        <v>1</v>
      </c>
      <c r="AJ150" t="s">
        <v>3</v>
      </c>
      <c r="AK150" t="s">
        <v>18</v>
      </c>
      <c r="AL150">
        <v>0</v>
      </c>
      <c r="AM150" t="s">
        <v>3</v>
      </c>
      <c r="AN150" t="s">
        <v>1</v>
      </c>
      <c r="AO150" s="1">
        <v>37.200000000000003</v>
      </c>
      <c r="AP150" s="1">
        <v>30.2</v>
      </c>
      <c r="AQ150">
        <v>43</v>
      </c>
      <c r="AR150">
        <v>48.9</v>
      </c>
      <c r="AS150" t="s">
        <v>3</v>
      </c>
    </row>
    <row r="151" spans="1:45" x14ac:dyDescent="0.35">
      <c r="A151" t="s">
        <v>17</v>
      </c>
      <c r="B151" t="s">
        <v>16</v>
      </c>
      <c r="C151" t="s">
        <v>15</v>
      </c>
      <c r="D151" t="s">
        <v>14</v>
      </c>
      <c r="E151" t="s">
        <v>13</v>
      </c>
      <c r="F151" t="s">
        <v>12</v>
      </c>
      <c r="G151">
        <v>6</v>
      </c>
      <c r="H151">
        <v>20</v>
      </c>
      <c r="I151" t="s">
        <v>11</v>
      </c>
      <c r="J151" t="s">
        <v>10</v>
      </c>
      <c r="K151" t="s">
        <v>9</v>
      </c>
      <c r="L151" t="s">
        <v>0</v>
      </c>
      <c r="M151" t="s">
        <v>3</v>
      </c>
      <c r="N151" t="s">
        <v>8</v>
      </c>
      <c r="O151" t="s">
        <v>7</v>
      </c>
      <c r="P151" t="s">
        <v>6</v>
      </c>
      <c r="Q151">
        <v>95304</v>
      </c>
      <c r="S151">
        <v>3</v>
      </c>
      <c r="T151">
        <v>24.2</v>
      </c>
      <c r="U151" t="s">
        <v>3</v>
      </c>
      <c r="V151" t="s">
        <v>0</v>
      </c>
      <c r="W151">
        <v>167</v>
      </c>
      <c r="X151">
        <v>3</v>
      </c>
      <c r="Y151" t="s">
        <v>3</v>
      </c>
      <c r="Z151">
        <v>23.49</v>
      </c>
      <c r="AA151">
        <v>17.39</v>
      </c>
      <c r="AB151" s="1">
        <v>25.96849723286504</v>
      </c>
      <c r="AC151" s="1">
        <v>97192</v>
      </c>
      <c r="AD151" t="s">
        <v>5</v>
      </c>
      <c r="AE151" s="1">
        <v>4.3414656929690737E-2</v>
      </c>
      <c r="AF151" t="s">
        <v>4</v>
      </c>
      <c r="AG151" t="s">
        <v>0</v>
      </c>
      <c r="AH151">
        <v>2</v>
      </c>
      <c r="AI151">
        <v>1</v>
      </c>
      <c r="AJ151" t="s">
        <v>3</v>
      </c>
      <c r="AK151" t="s">
        <v>2</v>
      </c>
      <c r="AL151">
        <v>19</v>
      </c>
      <c r="AM151" t="s">
        <v>0</v>
      </c>
      <c r="AN151" t="s">
        <v>1</v>
      </c>
      <c r="AO151" s="1">
        <v>47.4</v>
      </c>
      <c r="AP151" s="1">
        <v>30.3</v>
      </c>
      <c r="AQ151">
        <v>47.5</v>
      </c>
      <c r="AR151">
        <v>98.8</v>
      </c>
      <c r="AS15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C957-A9EC-4916-A10C-9181BB48C022}">
  <sheetPr filterMode="1"/>
  <dimension ref="A1:AF151"/>
  <sheetViews>
    <sheetView workbookViewId="0">
      <selection activeCell="C3" sqref="C3"/>
    </sheetView>
  </sheetViews>
  <sheetFormatPr defaultRowHeight="14.5" x14ac:dyDescent="0.35"/>
  <cols>
    <col min="2" max="2" width="17.6328125" customWidth="1"/>
    <col min="3" max="3" width="24.453125" customWidth="1"/>
  </cols>
  <sheetData>
    <row r="1" spans="1:32" x14ac:dyDescent="0.35">
      <c r="A1" t="s">
        <v>427</v>
      </c>
      <c r="B1" t="s">
        <v>426</v>
      </c>
      <c r="C1" t="s">
        <v>417</v>
      </c>
      <c r="D1" t="s">
        <v>416</v>
      </c>
      <c r="E1" t="s">
        <v>415</v>
      </c>
      <c r="F1" t="s">
        <v>413</v>
      </c>
      <c r="G1" t="s">
        <v>414</v>
      </c>
      <c r="H1" t="s">
        <v>421</v>
      </c>
      <c r="I1" t="s">
        <v>412</v>
      </c>
      <c r="J1" t="s">
        <v>420</v>
      </c>
      <c r="K1" s="3" t="s">
        <v>411</v>
      </c>
      <c r="L1" t="s">
        <v>408</v>
      </c>
      <c r="M1" t="s">
        <v>407</v>
      </c>
      <c r="N1" s="3" t="s">
        <v>406</v>
      </c>
      <c r="O1" t="s">
        <v>409</v>
      </c>
      <c r="P1" t="s">
        <v>400</v>
      </c>
      <c r="Q1" t="s">
        <v>404</v>
      </c>
      <c r="R1" t="s">
        <v>403</v>
      </c>
      <c r="S1" t="s">
        <v>396</v>
      </c>
      <c r="T1" t="s">
        <v>395</v>
      </c>
      <c r="U1" t="s">
        <v>398</v>
      </c>
      <c r="V1" t="s">
        <v>397</v>
      </c>
      <c r="W1" t="s">
        <v>392</v>
      </c>
      <c r="X1" t="s">
        <v>389</v>
      </c>
      <c r="Y1" t="s">
        <v>391</v>
      </c>
      <c r="Z1" t="s">
        <v>390</v>
      </c>
      <c r="AA1" t="s">
        <v>394</v>
      </c>
      <c r="AB1" t="s">
        <v>387</v>
      </c>
      <c r="AC1" t="s">
        <v>386</v>
      </c>
      <c r="AD1" s="3" t="s">
        <v>385</v>
      </c>
      <c r="AE1" s="3" t="s">
        <v>384</v>
      </c>
      <c r="AF1" s="3" t="s">
        <v>383</v>
      </c>
    </row>
    <row r="2" spans="1:32" hidden="1" x14ac:dyDescent="0.35">
      <c r="A2" t="s">
        <v>382</v>
      </c>
      <c r="B2" t="s">
        <v>381</v>
      </c>
      <c r="C2">
        <f>IF(cleaned_data!K2="Registered",1,0)</f>
        <v>1</v>
      </c>
      <c r="D2">
        <f>IF(cleaned_data!L2="Yes",1,0)</f>
        <v>1</v>
      </c>
      <c r="E2">
        <f>IF(cleaned_data!M2="Yes",1,0)</f>
        <v>1</v>
      </c>
      <c r="F2" t="str">
        <f>IF(cleaned_data!O2="Unknown","",IF(cleaned_data!O2="Yes",1,0))</f>
        <v/>
      </c>
      <c r="G2" cm="1">
        <f t="array" ref="G2">_xlfn.IFS(cleaned_data!N2="Owned",1,cleaned_data!N2="Leased",0.75,cleaned_data!N2="State land",0.5,cleaned_data!N2="Communal",0.25)</f>
        <v>1</v>
      </c>
      <c r="H2" s="2" cm="1">
        <f t="array" ref="H2">_xlfn.IFS(cleaned_data!G2&gt;=10,1,cleaned_data!G2&gt;=5,0.75,cleaned_data!G2&gt;=2,0.5,TRUE,0.25)</f>
        <v>1</v>
      </c>
      <c r="I2">
        <f>IF(cleaned_data!P2="None",0,1)</f>
        <v>1</v>
      </c>
      <c r="J2" s="2" cm="1">
        <f t="array" ref="J2">_xlfn.IFS(cleaned_data!H2&gt;=20,1,cleaned_data!H2&gt;=10,0.75,cleaned_data!H2&gt;=5,0.5,cleaned_data!H2&gt;=1,0.25,TRUE,0)</f>
        <v>1</v>
      </c>
      <c r="K2" cm="1">
        <f t="array" ref="K2">_xlfn.IFS(cleaned_data!Q2&gt;=100000,1,cleaned_data!Q2&gt;=50000,0.75,cleaned_data!Q2&gt;=10000,0.5,TRUE,0.25)</f>
        <v>1</v>
      </c>
      <c r="L2" cm="1">
        <f t="array" ref="L2">_xlfn.IFS(cleaned_data!T2="","",cleaned_data!T2&lt;=10,1,cleaned_data!T2&lt;=25,0.75,cleaned_data!T2&lt;=40,0.5, cleaned_data!T2&gt;40,0.25)</f>
        <v>1</v>
      </c>
      <c r="M2">
        <f>IF(cleaned_data!U2="Yes",1,0)</f>
        <v>1</v>
      </c>
      <c r="N2" cm="1">
        <f t="array" ref="N2">_xlfn.IFS(cleaned_data!V2="Unknown","",cleaned_data!V2="Yes",1,TRUE,0)</f>
        <v>1</v>
      </c>
      <c r="O2" cm="1">
        <f t="array" ref="O2">_xlfn.IFS(cleaned_data!S2&gt;=4,1,cleaned_data!S2=3,0.75,cleaned_data!S2=2,0.5,cleaned_data!S2=1,0.25,TRUE,0)</f>
        <v>1</v>
      </c>
      <c r="P2" cm="1">
        <f t="array" ref="P2">_xlfn.IFS(cleaned_data!AB2&gt;=50,1,cleaned_data!AB2&gt;=35,0.75,cleaned_data!AB2&gt;=20,0.5,TRUE,0.25)</f>
        <v>0.5</v>
      </c>
      <c r="Q2" cm="1">
        <f t="array" ref="Q2">_xlfn.IFS(cleaned_data!X2&gt;=5,1,cleaned_data!X2&gt;=3,0.75,cleaned_data!X2=2,0.5,cleaned_data!X2=1,0.25,TRUE,0)</f>
        <v>1</v>
      </c>
      <c r="R2">
        <f>IF(cleaned_data!Y2="Yes",1,0)</f>
        <v>1</v>
      </c>
      <c r="S2">
        <f>IF(OR(cleaned_data!AF2="GlobalG.A.P.",cleaned_data!AF2="Fairtrade",cleaned_data!AF2="Organic (CERES)"),1,
IF(OR(cleaned_data!AF2="SIZA",cleaned_data!AF2="Woolworths TNC",cleaned_data!AF2="Checkers Good Farming"),0.75,
IF(cleaned_data!AF2="No Certificate",0,
IF(cleaned_data!AF2="Unknown","",""))))</f>
        <v>1</v>
      </c>
      <c r="T2">
        <f>IF(cleaned_data!AG2="Yes",1,0)</f>
        <v>1</v>
      </c>
      <c r="U2">
        <f>IF(OR(cleaned_data!AD2="No Loan",cleaned_data!AD2="Settled",cleaned_data!AD2="Current"),1,
IF(cleaned_data!AD2="In Arrears",0.5,
IF(cleaned_data!AD2="Defaulted",0,
IF(cleaned_data!AD2="Unknown","",""))))</f>
        <v>1</v>
      </c>
      <c r="V2" cm="1">
        <f t="array" ref="V2">_xlfn.IFS(cleaned_data!AE2&lt;=0.2,1,
cleaned_data!AE2&lt;=0.5,0.75,
cleaned_data!AE2&lt;=1,0.5,
cleaned_data!AE2&gt;1,0.25)</f>
        <v>1</v>
      </c>
      <c r="W2">
        <f>IF(cleaned_data!AJ2="Yes",1,0)</f>
        <v>1</v>
      </c>
      <c r="X2" s="2" cm="1">
        <f t="array" ref="X2">_xlfn.IFS(cleaned_data!AM2="Yes", 1,
cleaned_data!AM2="No", 0,
cleaned_data!AM2="Unknown", "")</f>
        <v>1</v>
      </c>
      <c r="Y2" cm="1">
        <f t="array" ref="Y2">_xlfn.IFS(cleaned_data!AK2="Solar", 1,
cleaned_data!AK2="Generator", 0.75,
cleaned_data!AK2="Eskom grid", 0.5,
TRUE, "")</f>
        <v>0.5</v>
      </c>
      <c r="Z2" cm="1">
        <f t="array" ref="Z2">_xlfn.IFS(cleaned_data!AL2="", "",
cleaned_data!AL2&lt;=8, 1,
cleaned_data!AL2&lt;=14, 0.75,
cleaned_data!AL2&lt;=21, 0.5,
cleaned_data!AL2&gt;=22, 0.25)</f>
        <v>0.5</v>
      </c>
      <c r="AA2" cm="1">
        <f t="array" ref="AA2">_xlfn.IFS(cleaned_data!AH2=0, 1,
cleaned_data!AH2=1, 0.75,
cleaned_data!AH2=2, 0.5,
cleaned_data!AH2&gt;=3, 0.25)</f>
        <v>0.5</v>
      </c>
      <c r="AB2" cm="1">
        <f t="array" ref="AB2">_xlfn.IFS(cleaned_data!AO2="", "",
cleaned_data!AO2&gt;=50, 1,
cleaned_data!AO2&gt;=30, 0.75,
cleaned_data!AO2&gt;=10, 0.5,
cleaned_data!AO2&lt;10, 0.25)</f>
        <v>0.75</v>
      </c>
      <c r="AC2" cm="1">
        <f t="array" ref="AC2">_xlfn.IFS(cleaned_data!AP2&gt;=50,1, cleaned_data!AP2&gt;=30,0.75, cleaned_data!AP2&gt;=10,0.5, cleaned_data!AP2&lt;10,0.25)</f>
        <v>0.75</v>
      </c>
      <c r="AD2" cm="1">
        <f t="array" ref="AD2">_xlfn.IFS(cleaned_data!AQ2&gt;=30,1,
cleaned_data!AQ2&gt;=20,0.75,
cleaned_data!AQ2&gt;=10,0.5,
cleaned_data!AQ2&lt;10,0.25)</f>
        <v>0.5</v>
      </c>
      <c r="AE2" cm="1">
        <f t="array" ref="AE2">_xlfn.IFS(cleaned_data!AR2&gt;=75,1,
cleaned_data!AR2&gt;=50,0.75,
cleaned_data!AR2&gt;=25,0.5,
cleaned_data!AR2&lt;25,0.25)</f>
        <v>0.5</v>
      </c>
      <c r="AF2">
        <f>IF(cleaned_data!AS2="Yes",1,0)</f>
        <v>0</v>
      </c>
    </row>
    <row r="3" spans="1:32" x14ac:dyDescent="0.35">
      <c r="A3" t="s">
        <v>380</v>
      </c>
      <c r="B3" t="s">
        <v>379</v>
      </c>
      <c r="C3">
        <f>IF(cleaned_data!K3="Registered",1,0)</f>
        <v>1</v>
      </c>
      <c r="D3">
        <f>IF(cleaned_data!L3="Yes",1,0)</f>
        <v>1</v>
      </c>
      <c r="E3">
        <f>IF(cleaned_data!M3="Yes",1,0)</f>
        <v>1</v>
      </c>
      <c r="F3">
        <f>IF(cleaned_data!O3="Unknown","",IF(cleaned_data!O3="Yes",1,0))</f>
        <v>1</v>
      </c>
      <c r="G3" cm="1">
        <f t="array" ref="G3">_xlfn.IFS(cleaned_data!N3="Owned",1,cleaned_data!N3="Leased",0.75,cleaned_data!N3="State land",0.5,cleaned_data!N3="Communal",0.25)</f>
        <v>1</v>
      </c>
      <c r="H3" s="2" cm="1">
        <f t="array" ref="H3">_xlfn.IFS(cleaned_data!G3&gt;=10,1,cleaned_data!G3&gt;=5,0.75,cleaned_data!G3&gt;=2,0.5,TRUE,0.25)</f>
        <v>0.5</v>
      </c>
      <c r="I3">
        <f>IF(cleaned_data!P3="None",0,1)</f>
        <v>1</v>
      </c>
      <c r="J3" s="2" cm="1">
        <f t="array" ref="J3">_xlfn.IFS(cleaned_data!H3&gt;=20,1,cleaned_data!H3&gt;=10,0.75,cleaned_data!H3&gt;=5,0.5,cleaned_data!H3&gt;=1,0.25,TRUE,0)</f>
        <v>1</v>
      </c>
      <c r="K3" cm="1">
        <f t="array" ref="K3">_xlfn.IFS(cleaned_data!Q3&gt;=100000,1,cleaned_data!Q3&gt;=50000,0.75,cleaned_data!Q3&gt;=10000,0.5,TRUE,0.25)</f>
        <v>1</v>
      </c>
      <c r="L3" cm="1">
        <f t="array" ref="L3">_xlfn.IFS(cleaned_data!T3="","",cleaned_data!T3&lt;=10,1,cleaned_data!T3&lt;=25,0.75,cleaned_data!T3&lt;=40,0.5, cleaned_data!T3&gt;40,0.25)</f>
        <v>1</v>
      </c>
      <c r="M3">
        <f>IF(cleaned_data!U3="Yes",1,0)</f>
        <v>1</v>
      </c>
      <c r="N3" cm="1">
        <f t="array" ref="N3">_xlfn.IFS(cleaned_data!V3="Unknown","",cleaned_data!V3="Yes",1,TRUE,0)</f>
        <v>1</v>
      </c>
      <c r="O3" cm="1">
        <f t="array" ref="O3">_xlfn.IFS(cleaned_data!S3&gt;=4,1,cleaned_data!S3=3,0.75,cleaned_data!S3=2,0.5,cleaned_data!S3=1,0.25,TRUE,0)</f>
        <v>0.75</v>
      </c>
      <c r="P3" cm="1">
        <f t="array" ref="P3">_xlfn.IFS(cleaned_data!AB3&gt;=50,1,cleaned_data!AB3&gt;=35,0.75,cleaned_data!AB3&gt;=20,0.5,TRUE,0.25)</f>
        <v>1</v>
      </c>
      <c r="Q3" cm="1">
        <f t="array" ref="Q3">_xlfn.IFS(cleaned_data!X3&gt;=5,1,cleaned_data!X3&gt;=3,0.75,cleaned_data!X3=2,0.5,cleaned_data!X3=1,0.25,TRUE,0)</f>
        <v>1</v>
      </c>
      <c r="R3">
        <f>IF(cleaned_data!Y3="Yes",1,0)</f>
        <v>1</v>
      </c>
      <c r="S3" t="str">
        <f>IF(OR(cleaned_data!AF3="GlobalG.A.P.",cleaned_data!AF3="Fairtrade",cleaned_data!AF3="Organic (CERES)"),1,
IF(OR(cleaned_data!AF3="SIZA",cleaned_data!AF3="Woolworths TNC",cleaned_data!AF3="Checkers Good Farming"),0.75,
IF(cleaned_data!AF3="No Certificate",0,
IF(cleaned_data!AF3="Unknown","",""))))</f>
        <v/>
      </c>
      <c r="T3">
        <f>IF(cleaned_data!AG3="Yes",1,0)</f>
        <v>0</v>
      </c>
      <c r="U3">
        <f>IF(OR(cleaned_data!AD3="No Loan",cleaned_data!AD3="Settled",cleaned_data!AD3="Current"),1,
IF(cleaned_data!AD3="In Arrears",0.5,
IF(cleaned_data!AD3="Defaulted",0,
IF(cleaned_data!AD3="Unknown","",""))))</f>
        <v>1</v>
      </c>
      <c r="V3" cm="1">
        <f t="array" ref="V3">_xlfn.IFS(cleaned_data!AE3&lt;=0.2,1,
cleaned_data!AE3&lt;=0.5,0.75,
cleaned_data!AE3&lt;=1,0.5,
cleaned_data!AE3&gt;1,0.25)</f>
        <v>1</v>
      </c>
      <c r="W3">
        <f>IF(cleaned_data!AJ3="Yes",1,0)</f>
        <v>1</v>
      </c>
      <c r="X3" s="2" cm="1">
        <f t="array" ref="X3">_xlfn.IFS(cleaned_data!AM3="Yes", 1,
cleaned_data!AM3="No", 0,
cleaned_data!AM3="Unknown", "")</f>
        <v>1</v>
      </c>
      <c r="Y3" cm="1">
        <f t="array" ref="Y3">_xlfn.IFS(cleaned_data!AK3="Solar", 1,
cleaned_data!AK3="Generator", 0.75,
cleaned_data!AK3="Eskom grid", 0.5,
TRUE, "")</f>
        <v>0.5</v>
      </c>
      <c r="Z3" cm="1">
        <f t="array" ref="Z3">_xlfn.IFS(cleaned_data!AL3="", "",
cleaned_data!AL3&lt;=8, 1,
cleaned_data!AL3&lt;=14, 0.75,
cleaned_data!AL3&lt;=21, 0.5,
cleaned_data!AL3&gt;=22, 0.25)</f>
        <v>0.5</v>
      </c>
      <c r="AA3" cm="1">
        <f t="array" ref="AA3">_xlfn.IFS(cleaned_data!AH3=0, 1,
cleaned_data!AH3=1, 0.75,
cleaned_data!AH3=2, 0.5,
cleaned_data!AH3&gt;=3, 0.25)</f>
        <v>1</v>
      </c>
      <c r="AB3" cm="1">
        <f t="array" ref="AB3">_xlfn.IFS(cleaned_data!AO3="", "",
cleaned_data!AO3&gt;=50, 1,
cleaned_data!AO3&gt;=30, 0.75,
cleaned_data!AO3&gt;=10, 0.5,
cleaned_data!AO3&lt;10, 0.25)</f>
        <v>1</v>
      </c>
      <c r="AC3" cm="1">
        <f t="array" ref="AC3">_xlfn.IFS(cleaned_data!AP3&gt;=50,1, cleaned_data!AP3&gt;=30,0.75, cleaned_data!AP3&gt;=10,0.5, cleaned_data!AP3&lt;10,0.25)</f>
        <v>0.75</v>
      </c>
      <c r="AD3" cm="1">
        <f t="array" ref="AD3">_xlfn.IFS(cleaned_data!AQ3&gt;=30,1,
cleaned_data!AQ3&gt;=20,0.75,
cleaned_data!AQ3&gt;=10,0.5,
cleaned_data!AQ3&lt;10,0.25)</f>
        <v>1</v>
      </c>
      <c r="AE3" cm="1">
        <f t="array" ref="AE3">_xlfn.IFS(cleaned_data!AR3&gt;=75,1,
cleaned_data!AR3&gt;=50,0.75,
cleaned_data!AR3&gt;=25,0.5,
cleaned_data!AR3&lt;25,0.25)</f>
        <v>0.75</v>
      </c>
      <c r="AF3">
        <f>IF(cleaned_data!AS3="Yes",1,0)</f>
        <v>0</v>
      </c>
    </row>
    <row r="4" spans="1:32" ht="13.5" customHeight="1" x14ac:dyDescent="0.35">
      <c r="A4" t="s">
        <v>378</v>
      </c>
      <c r="B4" t="s">
        <v>377</v>
      </c>
      <c r="C4">
        <f>IF(cleaned_data!K4="Registered",1,0)</f>
        <v>1</v>
      </c>
      <c r="D4">
        <f>IF(cleaned_data!L4="Yes",1,0)</f>
        <v>1</v>
      </c>
      <c r="E4">
        <f>IF(cleaned_data!M4="Yes",1,0)</f>
        <v>1</v>
      </c>
      <c r="F4">
        <f>IF(cleaned_data!O4="Unknown","",IF(cleaned_data!O4="Yes",1,0))</f>
        <v>0</v>
      </c>
      <c r="G4" cm="1">
        <f t="array" ref="G4">_xlfn.IFS(cleaned_data!N4="Owned",1,cleaned_data!N4="Leased",0.75,cleaned_data!N4="State land",0.5,cleaned_data!N4="Communal",0.25)</f>
        <v>0.5</v>
      </c>
      <c r="H4" s="2" cm="1">
        <f t="array" ref="H4">_xlfn.IFS(cleaned_data!G4&gt;=10,1,cleaned_data!G4&gt;=5,0.75,cleaned_data!G4&gt;=2,0.5,TRUE,0.25)</f>
        <v>1</v>
      </c>
      <c r="I4">
        <f>IF(cleaned_data!P4="None",0,1)</f>
        <v>1</v>
      </c>
      <c r="J4" s="2" cm="1">
        <f t="array" ref="J4">_xlfn.IFS(cleaned_data!H4&gt;=20,1,cleaned_data!H4&gt;=10,0.75,cleaned_data!H4&gt;=5,0.5,cleaned_data!H4&gt;=1,0.25,TRUE,0)</f>
        <v>1</v>
      </c>
      <c r="K4" cm="1">
        <f t="array" ref="K4">_xlfn.IFS(cleaned_data!Q4&gt;=100000,1,cleaned_data!Q4&gt;=50000,0.75,cleaned_data!Q4&gt;=10000,0.5,TRUE,0.25)</f>
        <v>1</v>
      </c>
      <c r="L4" cm="1">
        <f t="array" ref="L4">_xlfn.IFS(cleaned_data!T4="","",cleaned_data!T4&lt;=10,1,cleaned_data!T4&lt;=25,0.75,cleaned_data!T4&lt;=40,0.5, cleaned_data!T4&gt;40,0.25)</f>
        <v>1</v>
      </c>
      <c r="M4">
        <f>IF(cleaned_data!U4="Yes",1,0)</f>
        <v>1</v>
      </c>
      <c r="N4" cm="1">
        <f t="array" ref="N4">_xlfn.IFS(cleaned_data!V4="Unknown","",cleaned_data!V4="Yes",1,TRUE,0)</f>
        <v>1</v>
      </c>
      <c r="O4" cm="1">
        <f t="array" ref="O4">_xlfn.IFS(cleaned_data!S4&gt;=4,1,cleaned_data!S4=3,0.75,cleaned_data!S4=2,0.5,cleaned_data!S4=1,0.25,TRUE,0)</f>
        <v>0.25</v>
      </c>
      <c r="P4" cm="1">
        <f t="array" ref="P4">_xlfn.IFS(cleaned_data!AB4&gt;=50,1,cleaned_data!AB4&gt;=35,0.75,cleaned_data!AB4&gt;=20,0.5,TRUE,0.25)</f>
        <v>0.75</v>
      </c>
      <c r="Q4" cm="1">
        <f t="array" ref="Q4">_xlfn.IFS(cleaned_data!X4&gt;=5,1,cleaned_data!X4&gt;=3,0.75,cleaned_data!X4=2,0.5,cleaned_data!X4=1,0.25,TRUE,0)</f>
        <v>1</v>
      </c>
      <c r="R4">
        <f>IF(cleaned_data!Y4="Yes",1,0)</f>
        <v>1</v>
      </c>
      <c r="S4">
        <f>IF(OR(cleaned_data!AF4="GlobalG.A.P.",cleaned_data!AF4="Fairtrade",cleaned_data!AF4="Organic (CERES)"),1,
IF(OR(cleaned_data!AF4="SIZA",cleaned_data!AF4="Woolworths TNC",cleaned_data!AF4="Checkers Good Farming"),0.75,
IF(cleaned_data!AF4="No Certificate",0,
IF(cleaned_data!AF4="Unknown","",""))))</f>
        <v>0.75</v>
      </c>
      <c r="T4">
        <f>IF(cleaned_data!AG4="Yes",1,0)</f>
        <v>1</v>
      </c>
      <c r="U4">
        <f>IF(OR(cleaned_data!AD4="No Loan",cleaned_data!AD4="Settled",cleaned_data!AD4="Current"),1,
IF(cleaned_data!AD4="In Arrears",0.5,
IF(cleaned_data!AD4="Defaulted",0,
IF(cleaned_data!AD4="Unknown","",""))))</f>
        <v>1</v>
      </c>
      <c r="V4" cm="1">
        <f t="array" ref="V4">_xlfn.IFS(cleaned_data!AE4&lt;=0.2,1,
cleaned_data!AE4&lt;=0.5,0.75,
cleaned_data!AE4&lt;=1,0.5,
cleaned_data!AE4&gt;1,0.25)</f>
        <v>1</v>
      </c>
      <c r="W4">
        <f>IF(cleaned_data!AJ4="Yes",1,0)</f>
        <v>1</v>
      </c>
      <c r="X4" s="2" cm="1">
        <f t="array" ref="X4">_xlfn.IFS(cleaned_data!AM4="Yes", 1,
cleaned_data!AM4="No", 0,
cleaned_data!AM4="Unknown", "")</f>
        <v>1</v>
      </c>
      <c r="Y4" cm="1">
        <f t="array" ref="Y4">_xlfn.IFS(cleaned_data!AK4="Solar", 1,
cleaned_data!AK4="Generator", 0.75,
cleaned_data!AK4="Eskom grid", 0.5,
TRUE, "")</f>
        <v>1</v>
      </c>
      <c r="Z4" cm="1">
        <f t="array" ref="Z4">_xlfn.IFS(cleaned_data!AL4="", "",
cleaned_data!AL4&lt;=8, 1,
cleaned_data!AL4&lt;=14, 0.75,
cleaned_data!AL4&lt;=21, 0.5,
cleaned_data!AL4&gt;=22, 0.25)</f>
        <v>1</v>
      </c>
      <c r="AA4" cm="1">
        <f t="array" ref="AA4">_xlfn.IFS(cleaned_data!AH4=0, 1,
cleaned_data!AH4=1, 0.75,
cleaned_data!AH4=2, 0.5,
cleaned_data!AH4&gt;=3, 0.25)</f>
        <v>1</v>
      </c>
      <c r="AB4" cm="1">
        <f t="array" ref="AB4">_xlfn.IFS(cleaned_data!AO4="", "",
cleaned_data!AO4&gt;=50, 1,
cleaned_data!AO4&gt;=30, 0.75,
cleaned_data!AO4&gt;=10, 0.5,
cleaned_data!AO4&lt;10, 0.25)</f>
        <v>0.25</v>
      </c>
      <c r="AC4" cm="1">
        <f t="array" ref="AC4">_xlfn.IFS(cleaned_data!AP4&gt;=50,1, cleaned_data!AP4&gt;=30,0.75, cleaned_data!AP4&gt;=10,0.5, cleaned_data!AP4&lt;10,0.25)</f>
        <v>1</v>
      </c>
      <c r="AD4" cm="1">
        <f t="array" ref="AD4">_xlfn.IFS(cleaned_data!AQ4&gt;=30,1,
cleaned_data!AQ4&gt;=20,0.75,
cleaned_data!AQ4&gt;=10,0.5,
cleaned_data!AQ4&lt;10,0.25)</f>
        <v>1</v>
      </c>
      <c r="AE4" cm="1">
        <f t="array" ref="AE4">_xlfn.IFS(cleaned_data!AR4&gt;=75,1,
cleaned_data!AR4&gt;=50,0.75,
cleaned_data!AR4&gt;=25,0.5,
cleaned_data!AR4&lt;25,0.25)</f>
        <v>1</v>
      </c>
      <c r="AF4">
        <f>IF(cleaned_data!AS4="Yes",1,0)</f>
        <v>0</v>
      </c>
    </row>
    <row r="5" spans="1:32" x14ac:dyDescent="0.35">
      <c r="A5" t="s">
        <v>376</v>
      </c>
      <c r="B5" t="s">
        <v>127</v>
      </c>
      <c r="C5">
        <f>IF(cleaned_data!K5="Registered",1,0)</f>
        <v>1</v>
      </c>
      <c r="D5">
        <f>IF(cleaned_data!L5="Yes",1,0)</f>
        <v>1</v>
      </c>
      <c r="E5">
        <f>IF(cleaned_data!M5="Yes",1,0)</f>
        <v>1</v>
      </c>
      <c r="F5">
        <f>IF(cleaned_data!O5="Unknown","",IF(cleaned_data!O5="Yes",1,0))</f>
        <v>1</v>
      </c>
      <c r="G5" cm="1">
        <f t="array" ref="G5">_xlfn.IFS(cleaned_data!N5="Owned",1,cleaned_data!N5="Leased",0.75,cleaned_data!N5="State land",0.5,cleaned_data!N5="Communal",0.25)</f>
        <v>1</v>
      </c>
      <c r="H5" s="2" cm="1">
        <f t="array" ref="H5">_xlfn.IFS(cleaned_data!G5&gt;=10,1,cleaned_data!G5&gt;=5,0.75,cleaned_data!G5&gt;=2,0.5,TRUE,0.25)</f>
        <v>1</v>
      </c>
      <c r="I5">
        <f>IF(cleaned_data!P5="None",0,1)</f>
        <v>1</v>
      </c>
      <c r="J5" s="2" cm="1">
        <f t="array" ref="J5">_xlfn.IFS(cleaned_data!H5&gt;=20,1,cleaned_data!H5&gt;=10,0.75,cleaned_data!H5&gt;=5,0.5,cleaned_data!H5&gt;=1,0.25,TRUE,0)</f>
        <v>1</v>
      </c>
      <c r="K5" cm="1">
        <f t="array" ref="K5">_xlfn.IFS(cleaned_data!Q5&gt;=100000,1,cleaned_data!Q5&gt;=50000,0.75,cleaned_data!Q5&gt;=10000,0.5,TRUE,0.25)</f>
        <v>1</v>
      </c>
      <c r="L5" cm="1">
        <f t="array" ref="L5">_xlfn.IFS(cleaned_data!T5="","",cleaned_data!T5&lt;=10,1,cleaned_data!T5&lt;=25,0.75,cleaned_data!T5&lt;=40,0.5, cleaned_data!T5&gt;40,0.25)</f>
        <v>1</v>
      </c>
      <c r="M5">
        <f>IF(cleaned_data!U5="Yes",1,0)</f>
        <v>1</v>
      </c>
      <c r="N5" t="str" cm="1">
        <f t="array" ref="N5">_xlfn.IFS(cleaned_data!V5="Unknown","",cleaned_data!V5="Yes",1,TRUE,0)</f>
        <v/>
      </c>
      <c r="O5" cm="1">
        <f t="array" ref="O5">_xlfn.IFS(cleaned_data!S5&gt;=4,1,cleaned_data!S5=3,0.75,cleaned_data!S5=2,0.5,cleaned_data!S5=1,0.25,TRUE,0)</f>
        <v>0.75</v>
      </c>
      <c r="P5" cm="1">
        <f t="array" ref="P5">_xlfn.IFS(cleaned_data!AB5&gt;=50,1,cleaned_data!AB5&gt;=35,0.75,cleaned_data!AB5&gt;=20,0.5,TRUE,0.25)</f>
        <v>0.5</v>
      </c>
      <c r="Q5" cm="1">
        <f t="array" ref="Q5">_xlfn.IFS(cleaned_data!X5&gt;=5,1,cleaned_data!X5&gt;=3,0.75,cleaned_data!X5=2,0.5,cleaned_data!X5=1,0.25,TRUE,0)</f>
        <v>0.75</v>
      </c>
      <c r="R5">
        <f>IF(cleaned_data!Y5="Yes",1,0)</f>
        <v>1</v>
      </c>
      <c r="S5">
        <f>IF(OR(cleaned_data!AF5="GlobalG.A.P.",cleaned_data!AF5="Fairtrade",cleaned_data!AF5="Organic (CERES)"),1,
IF(OR(cleaned_data!AF5="SIZA",cleaned_data!AF5="Woolworths TNC",cleaned_data!AF5="Checkers Good Farming"),0.75,
IF(cleaned_data!AF5="No Certificate",0,
IF(cleaned_data!AF5="Unknown","",""))))</f>
        <v>1</v>
      </c>
      <c r="T5">
        <f>IF(cleaned_data!AG5="Yes",1,0)</f>
        <v>1</v>
      </c>
      <c r="U5">
        <f>IF(OR(cleaned_data!AD5="No Loan",cleaned_data!AD5="Settled",cleaned_data!AD5="Current"),1,
IF(cleaned_data!AD5="In Arrears",0.5,
IF(cleaned_data!AD5="Defaulted",0,
IF(cleaned_data!AD5="Unknown","",""))))</f>
        <v>1</v>
      </c>
      <c r="V5" cm="1">
        <f t="array" ref="V5">_xlfn.IFS(cleaned_data!AE5&lt;=0.2,1,
cleaned_data!AE5&lt;=0.5,0.75,
cleaned_data!AE5&lt;=1,0.5,
cleaned_data!AE5&gt;1,0.25)</f>
        <v>1</v>
      </c>
      <c r="W5">
        <f>IF(cleaned_data!AJ5="Yes",1,0)</f>
        <v>1</v>
      </c>
      <c r="X5" s="2" cm="1">
        <f t="array" ref="X5">_xlfn.IFS(cleaned_data!AM5="Yes", 1,
cleaned_data!AM5="No", 0,
cleaned_data!AM5="Unknown", "")</f>
        <v>0</v>
      </c>
      <c r="Y5" cm="1">
        <f t="array" ref="Y5">_xlfn.IFS(cleaned_data!AK5="Solar", 1,
cleaned_data!AK5="Generator", 0.75,
cleaned_data!AK5="Eskom grid", 0.5,
TRUE, "")</f>
        <v>0.5</v>
      </c>
      <c r="Z5" cm="1">
        <f t="array" ref="Z5">_xlfn.IFS(cleaned_data!AL5="", "",
cleaned_data!AL5&lt;=8, 1,
cleaned_data!AL5&lt;=14, 0.75,
cleaned_data!AL5&lt;=21, 0.5,
cleaned_data!AL5&gt;=22, 0.25)</f>
        <v>0.25</v>
      </c>
      <c r="AA5" cm="1">
        <f t="array" ref="AA5">_xlfn.IFS(cleaned_data!AH5=0, 1,
cleaned_data!AH5=1, 0.75,
cleaned_data!AH5=2, 0.5,
cleaned_data!AH5&gt;=3, 0.25)</f>
        <v>0.25</v>
      </c>
      <c r="AB5" cm="1">
        <f t="array" ref="AB5">_xlfn.IFS(cleaned_data!AO5="", "",
cleaned_data!AO5&gt;=50, 1,
cleaned_data!AO5&gt;=30, 0.75,
cleaned_data!AO5&gt;=10, 0.5,
cleaned_data!AO5&lt;10, 0.25)</f>
        <v>1</v>
      </c>
      <c r="AC5" cm="1">
        <f t="array" ref="AC5">_xlfn.IFS(cleaned_data!AP5&gt;=50,1, cleaned_data!AP5&gt;=30,0.75, cleaned_data!AP5&gt;=10,0.5, cleaned_data!AP5&lt;10,0.25)</f>
        <v>0.75</v>
      </c>
      <c r="AD5" cm="1">
        <f t="array" ref="AD5">_xlfn.IFS(cleaned_data!AQ5&gt;=30,1,
cleaned_data!AQ5&gt;=20,0.75,
cleaned_data!AQ5&gt;=10,0.5,
cleaned_data!AQ5&lt;10,0.25)</f>
        <v>1</v>
      </c>
      <c r="AE5" cm="1">
        <f t="array" ref="AE5">_xlfn.IFS(cleaned_data!AR5&gt;=75,1,
cleaned_data!AR5&gt;=50,0.75,
cleaned_data!AR5&gt;=25,0.5,
cleaned_data!AR5&lt;25,0.25)</f>
        <v>0.75</v>
      </c>
      <c r="AF5">
        <f>IF(cleaned_data!AS5="Yes",1,0)</f>
        <v>0</v>
      </c>
    </row>
    <row r="6" spans="1:32" hidden="1" x14ac:dyDescent="0.35">
      <c r="A6" t="s">
        <v>374</v>
      </c>
      <c r="B6" t="s">
        <v>342</v>
      </c>
      <c r="C6">
        <f>IF(cleaned_data!K6="Registered",1,0)</f>
        <v>1</v>
      </c>
      <c r="D6">
        <f>IF(cleaned_data!L6="Yes",1,0)</f>
        <v>1</v>
      </c>
      <c r="E6">
        <f>IF(cleaned_data!M6="Yes",1,0)</f>
        <v>1</v>
      </c>
      <c r="F6">
        <f>IF(cleaned_data!O6="Unknown","",IF(cleaned_data!O6="Yes",1,0))</f>
        <v>1</v>
      </c>
      <c r="G6" cm="1">
        <f t="array" ref="G6">_xlfn.IFS(cleaned_data!N6="Owned",1,cleaned_data!N6="Leased",0.75,cleaned_data!N6="State land",0.5,cleaned_data!N6="Communal",0.25)</f>
        <v>1</v>
      </c>
      <c r="H6" s="2" cm="1">
        <f t="array" ref="H6">_xlfn.IFS(cleaned_data!G6&gt;=10,1,cleaned_data!G6&gt;=5,0.75,cleaned_data!G6&gt;=2,0.5,TRUE,0.25)</f>
        <v>0.75</v>
      </c>
      <c r="I6">
        <f>IF(cleaned_data!P6="None",0,1)</f>
        <v>1</v>
      </c>
      <c r="J6" s="2" cm="1">
        <f t="array" ref="J6">_xlfn.IFS(cleaned_data!H6&gt;=20,1,cleaned_data!H6&gt;=10,0.75,cleaned_data!H6&gt;=5,0.5,cleaned_data!H6&gt;=1,0.25,TRUE,0)</f>
        <v>1</v>
      </c>
      <c r="K6" cm="1">
        <f t="array" ref="K6">_xlfn.IFS(cleaned_data!Q6&gt;=100000,1,cleaned_data!Q6&gt;=50000,0.75,cleaned_data!Q6&gt;=10000,0.5,TRUE,0.25)</f>
        <v>1</v>
      </c>
      <c r="L6" cm="1">
        <f t="array" ref="L6">_xlfn.IFS(cleaned_data!T6="","",cleaned_data!T6&lt;=10,1,cleaned_data!T6&lt;=25,0.75,cleaned_data!T6&lt;=40,0.5, cleaned_data!T6&gt;40,0.25)</f>
        <v>1</v>
      </c>
      <c r="M6">
        <f>IF(cleaned_data!U6="Yes",1,0)</f>
        <v>1</v>
      </c>
      <c r="N6" cm="1">
        <f t="array" ref="N6">_xlfn.IFS(cleaned_data!V6="Unknown","",cleaned_data!V6="Yes",1,TRUE,0)</f>
        <v>0</v>
      </c>
      <c r="O6" cm="1">
        <f t="array" ref="O6">_xlfn.IFS(cleaned_data!S6&gt;=4,1,cleaned_data!S6=3,0.75,cleaned_data!S6=2,0.5,cleaned_data!S6=1,0.25,TRUE,0)</f>
        <v>1</v>
      </c>
      <c r="P6" cm="1">
        <f t="array" ref="P6">_xlfn.IFS(cleaned_data!AB6&gt;=50,1,cleaned_data!AB6&gt;=35,0.75,cleaned_data!AB6&gt;=20,0.5,TRUE,0.25)</f>
        <v>1</v>
      </c>
      <c r="Q6" cm="1">
        <f t="array" ref="Q6">_xlfn.IFS(cleaned_data!X6&gt;=5,1,cleaned_data!X6&gt;=3,0.75,cleaned_data!X6=2,0.5,cleaned_data!X6=1,0.25,TRUE,0)</f>
        <v>1</v>
      </c>
      <c r="R6">
        <f>IF(cleaned_data!Y6="Yes",1,0)</f>
        <v>0</v>
      </c>
      <c r="S6">
        <f>IF(OR(cleaned_data!AF6="GlobalG.A.P.",cleaned_data!AF6="Fairtrade",cleaned_data!AF6="Organic (CERES)"),1,
IF(OR(cleaned_data!AF6="SIZA",cleaned_data!AF6="Woolworths TNC",cleaned_data!AF6="Checkers Good Farming"),0.75,
IF(cleaned_data!AF6="No Certificate",0,
IF(cleaned_data!AF6="Unknown","",""))))</f>
        <v>0.75</v>
      </c>
      <c r="T6">
        <f>IF(cleaned_data!AG6="Yes",1,0)</f>
        <v>1</v>
      </c>
      <c r="U6">
        <f>IF(OR(cleaned_data!AD6="No Loan",cleaned_data!AD6="Settled",cleaned_data!AD6="Current"),1,
IF(cleaned_data!AD6="In Arrears",0.5,
IF(cleaned_data!AD6="Defaulted",0,
IF(cleaned_data!AD6="Unknown","",""))))</f>
        <v>1</v>
      </c>
      <c r="V6" cm="1">
        <f t="array" ref="V6">_xlfn.IFS(cleaned_data!AE6&lt;=0.2,1,
cleaned_data!AE6&lt;=0.5,0.75,
cleaned_data!AE6&lt;=1,0.5,
cleaned_data!AE6&gt;1,0.25)</f>
        <v>1</v>
      </c>
      <c r="W6">
        <f>IF(cleaned_data!AJ6="Yes",1,0)</f>
        <v>1</v>
      </c>
      <c r="X6" s="2" cm="1">
        <f t="array" ref="X6">_xlfn.IFS(cleaned_data!AM6="Yes", 1,
cleaned_data!AM6="No", 0,
cleaned_data!AM6="Unknown", "")</f>
        <v>0</v>
      </c>
      <c r="Y6" cm="1">
        <f t="array" ref="Y6">_xlfn.IFS(cleaned_data!AK6="Solar", 1,
cleaned_data!AK6="Generator", 0.75,
cleaned_data!AK6="Eskom grid", 0.5,
TRUE, "")</f>
        <v>1</v>
      </c>
      <c r="Z6" t="str" cm="1">
        <f t="array" ref="Z6">_xlfn.IFS(cleaned_data!AL6="", "",
cleaned_data!AL6&lt;=8, 1,
cleaned_data!AL6&lt;=14, 0.75,
cleaned_data!AL6&lt;=21, 0.5,
cleaned_data!AL6&gt;=22, 0.25)</f>
        <v/>
      </c>
      <c r="AA6" cm="1">
        <f t="array" ref="AA6">_xlfn.IFS(cleaned_data!AH6=0, 1,
cleaned_data!AH6=1, 0.75,
cleaned_data!AH6=2, 0.5,
cleaned_data!AH6&gt;=3, 0.25)</f>
        <v>1</v>
      </c>
      <c r="AB6" cm="1">
        <f t="array" ref="AB6">_xlfn.IFS(cleaned_data!AO6="", "",
cleaned_data!AO6&gt;=50, 1,
cleaned_data!AO6&gt;=30, 0.75,
cleaned_data!AO6&gt;=10, 0.5,
cleaned_data!AO6&lt;10, 0.25)</f>
        <v>0.5</v>
      </c>
      <c r="AC6" cm="1">
        <f t="array" ref="AC6">_xlfn.IFS(cleaned_data!AP6&gt;=50,1, cleaned_data!AP6&gt;=30,0.75, cleaned_data!AP6&gt;=10,0.5, cleaned_data!AP6&lt;10,0.25)</f>
        <v>0.5</v>
      </c>
      <c r="AD6" cm="1">
        <f t="array" ref="AD6">_xlfn.IFS(cleaned_data!AQ6&gt;=30,1,
cleaned_data!AQ6&gt;=20,0.75,
cleaned_data!AQ6&gt;=10,0.5,
cleaned_data!AQ6&lt;10,0.25)</f>
        <v>0.75</v>
      </c>
      <c r="AE6" cm="1">
        <f t="array" ref="AE6">_xlfn.IFS(cleaned_data!AR6&gt;=75,1,
cleaned_data!AR6&gt;=50,0.75,
cleaned_data!AR6&gt;=25,0.5,
cleaned_data!AR6&lt;25,0.25)</f>
        <v>0.75</v>
      </c>
      <c r="AF6">
        <f>IF(cleaned_data!AS6="Yes",1,0)</f>
        <v>1</v>
      </c>
    </row>
    <row r="7" spans="1:32" hidden="1" x14ac:dyDescent="0.35">
      <c r="A7" t="s">
        <v>373</v>
      </c>
      <c r="B7" t="s">
        <v>36</v>
      </c>
      <c r="C7">
        <f>IF(cleaned_data!K7="Registered",1,0)</f>
        <v>0</v>
      </c>
      <c r="D7">
        <f>IF(cleaned_data!L7="Yes",1,0)</f>
        <v>1</v>
      </c>
      <c r="E7">
        <f>IF(cleaned_data!M7="Yes",1,0)</f>
        <v>0</v>
      </c>
      <c r="F7">
        <f>IF(cleaned_data!O7="Unknown","",IF(cleaned_data!O7="Yes",1,0))</f>
        <v>0</v>
      </c>
      <c r="G7" cm="1">
        <f t="array" ref="G7">_xlfn.IFS(cleaned_data!N7="Owned",1,cleaned_data!N7="Leased",0.75,cleaned_data!N7="State land",0.5,cleaned_data!N7="Communal",0.25)</f>
        <v>0.75</v>
      </c>
      <c r="H7" s="2" cm="1">
        <f t="array" ref="H7">_xlfn.IFS(cleaned_data!G7&gt;=10,1,cleaned_data!G7&gt;=5,0.75,cleaned_data!G7&gt;=2,0.5,TRUE,0.25)</f>
        <v>0.75</v>
      </c>
      <c r="I7">
        <f>IF(cleaned_data!P7="None",0,1)</f>
        <v>1</v>
      </c>
      <c r="J7" s="2" cm="1">
        <f t="array" ref="J7">_xlfn.IFS(cleaned_data!H7&gt;=20,1,cleaned_data!H7&gt;=10,0.75,cleaned_data!H7&gt;=5,0.5,cleaned_data!H7&gt;=1,0.25,TRUE,0)</f>
        <v>1</v>
      </c>
      <c r="K7" cm="1">
        <f t="array" ref="K7">_xlfn.IFS(cleaned_data!Q7&gt;=100000,1,cleaned_data!Q7&gt;=50000,0.75,cleaned_data!Q7&gt;=10000,0.5,TRUE,0.25)</f>
        <v>1</v>
      </c>
      <c r="L7" cm="1">
        <f t="array" ref="L7">_xlfn.IFS(cleaned_data!T7="","",cleaned_data!T7&lt;=10,1,cleaned_data!T7&lt;=25,0.75,cleaned_data!T7&lt;=40,0.5, cleaned_data!T7&gt;40,0.25)</f>
        <v>0.75</v>
      </c>
      <c r="M7">
        <f>IF(cleaned_data!U7="Yes",1,0)</f>
        <v>0</v>
      </c>
      <c r="N7" cm="1">
        <f t="array" ref="N7">_xlfn.IFS(cleaned_data!V7="Unknown","",cleaned_data!V7="Yes",1,TRUE,0)</f>
        <v>0</v>
      </c>
      <c r="O7" cm="1">
        <f t="array" ref="O7">_xlfn.IFS(cleaned_data!S7&gt;=4,1,cleaned_data!S7=3,0.75,cleaned_data!S7=2,0.5,cleaned_data!S7=1,0.25,TRUE,0)</f>
        <v>0.5</v>
      </c>
      <c r="P7" cm="1">
        <f t="array" ref="P7">_xlfn.IFS(cleaned_data!AB7&gt;=50,1,cleaned_data!AB7&gt;=35,0.75,cleaned_data!AB7&gt;=20,0.5,TRUE,0.25)</f>
        <v>0.75</v>
      </c>
      <c r="Q7" cm="1">
        <f t="array" ref="Q7">_xlfn.IFS(cleaned_data!X7&gt;=5,1,cleaned_data!X7&gt;=3,0.75,cleaned_data!X7=2,0.5,cleaned_data!X7=1,0.25,TRUE,0)</f>
        <v>1</v>
      </c>
      <c r="R7">
        <f>IF(cleaned_data!Y7="Yes",1,0)</f>
        <v>1</v>
      </c>
      <c r="S7">
        <f>IF(OR(cleaned_data!AF7="GlobalG.A.P.",cleaned_data!AF7="Fairtrade",cleaned_data!AF7="Organic (CERES)"),1,
IF(OR(cleaned_data!AF7="SIZA",cleaned_data!AF7="Woolworths TNC",cleaned_data!AF7="Checkers Good Farming"),0.75,
IF(cleaned_data!AF7="No Certificate",0,
IF(cleaned_data!AF7="Unknown","",""))))</f>
        <v>0.75</v>
      </c>
      <c r="T7">
        <f>IF(cleaned_data!AG7="Yes",1,0)</f>
        <v>1</v>
      </c>
      <c r="U7">
        <f>IF(OR(cleaned_data!AD7="No Loan",cleaned_data!AD7="Settled",cleaned_data!AD7="Current"),1,
IF(cleaned_data!AD7="In Arrears",0.5,
IF(cleaned_data!AD7="Defaulted",0,
IF(cleaned_data!AD7="Unknown","",""))))</f>
        <v>1</v>
      </c>
      <c r="V7" cm="1">
        <f t="array" ref="V7">_xlfn.IFS(cleaned_data!AE7&lt;=0.2,1,
cleaned_data!AE7&lt;=0.5,0.75,
cleaned_data!AE7&lt;=1,0.5,
cleaned_data!AE7&gt;1,0.25)</f>
        <v>1</v>
      </c>
      <c r="W7">
        <f>IF(cleaned_data!AJ7="Yes",1,0)</f>
        <v>1</v>
      </c>
      <c r="X7" s="2" cm="1">
        <f t="array" ref="X7">_xlfn.IFS(cleaned_data!AM7="Yes", 1,
cleaned_data!AM7="No", 0,
cleaned_data!AM7="Unknown", "")</f>
        <v>1</v>
      </c>
      <c r="Y7" cm="1">
        <f t="array" ref="Y7">_xlfn.IFS(cleaned_data!AK7="Solar", 1,
cleaned_data!AK7="Generator", 0.75,
cleaned_data!AK7="Eskom grid", 0.5,
TRUE, "")</f>
        <v>0.5</v>
      </c>
      <c r="Z7" cm="1">
        <f t="array" ref="Z7">_xlfn.IFS(cleaned_data!AL7="", "",
cleaned_data!AL7&lt;=8, 1,
cleaned_data!AL7&lt;=14, 0.75,
cleaned_data!AL7&lt;=21, 0.5,
cleaned_data!AL7&gt;=22, 0.25)</f>
        <v>1</v>
      </c>
      <c r="AA7" cm="1">
        <f t="array" ref="AA7">_xlfn.IFS(cleaned_data!AH7=0, 1,
cleaned_data!AH7=1, 0.75,
cleaned_data!AH7=2, 0.5,
cleaned_data!AH7&gt;=3, 0.25)</f>
        <v>0.75</v>
      </c>
      <c r="AB7" cm="1">
        <f t="array" ref="AB7">_xlfn.IFS(cleaned_data!AO7="", "",
cleaned_data!AO7&gt;=50, 1,
cleaned_data!AO7&gt;=30, 0.75,
cleaned_data!AO7&gt;=10, 0.5,
cleaned_data!AO7&lt;10, 0.25)</f>
        <v>0.25</v>
      </c>
      <c r="AC7" cm="1">
        <f t="array" ref="AC7">_xlfn.IFS(cleaned_data!AP7&gt;=50,1, cleaned_data!AP7&gt;=30,0.75, cleaned_data!AP7&gt;=10,0.5, cleaned_data!AP7&lt;10,0.25)</f>
        <v>1</v>
      </c>
      <c r="AD7" cm="1">
        <f t="array" ref="AD7">_xlfn.IFS(cleaned_data!AQ7&gt;=30,1,
cleaned_data!AQ7&gt;=20,0.75,
cleaned_data!AQ7&gt;=10,0.5,
cleaned_data!AQ7&lt;10,0.25)</f>
        <v>0.75</v>
      </c>
      <c r="AE7" cm="1">
        <f t="array" ref="AE7">_xlfn.IFS(cleaned_data!AR7&gt;=75,1,
cleaned_data!AR7&gt;=50,0.75,
cleaned_data!AR7&gt;=25,0.5,
cleaned_data!AR7&lt;25,0.25)</f>
        <v>1</v>
      </c>
      <c r="AF7">
        <f>IF(cleaned_data!AS7="Yes",1,0)</f>
        <v>1</v>
      </c>
    </row>
    <row r="8" spans="1:32" x14ac:dyDescent="0.35">
      <c r="A8" t="s">
        <v>372</v>
      </c>
      <c r="B8" t="s">
        <v>371</v>
      </c>
      <c r="C8">
        <f>IF(cleaned_data!K8="Registered",1,0)</f>
        <v>1</v>
      </c>
      <c r="D8">
        <f>IF(cleaned_data!L8="Yes",1,0)</f>
        <v>1</v>
      </c>
      <c r="E8">
        <f>IF(cleaned_data!M8="Yes",1,0)</f>
        <v>1</v>
      </c>
      <c r="F8" t="str">
        <f>IF(cleaned_data!O8="Unknown","",IF(cleaned_data!O8="Yes",1,0))</f>
        <v/>
      </c>
      <c r="G8" cm="1">
        <f t="array" ref="G8">_xlfn.IFS(cleaned_data!N8="Owned",1,cleaned_data!N8="Leased",0.75,cleaned_data!N8="State land",0.5,cleaned_data!N8="Communal",0.25)</f>
        <v>0.75</v>
      </c>
      <c r="H8" s="2" cm="1">
        <f t="array" ref="H8">_xlfn.IFS(cleaned_data!G8&gt;=10,1,cleaned_data!G8&gt;=5,0.75,cleaned_data!G8&gt;=2,0.5,TRUE,0.25)</f>
        <v>1</v>
      </c>
      <c r="I8">
        <f>IF(cleaned_data!P8="None",0,1)</f>
        <v>1</v>
      </c>
      <c r="J8" s="2" cm="1">
        <f t="array" ref="J8">_xlfn.IFS(cleaned_data!H8&gt;=20,1,cleaned_data!H8&gt;=10,0.75,cleaned_data!H8&gt;=5,0.5,cleaned_data!H8&gt;=1,0.25,TRUE,0)</f>
        <v>1</v>
      </c>
      <c r="K8" cm="1">
        <f t="array" ref="K8">_xlfn.IFS(cleaned_data!Q8&gt;=100000,1,cleaned_data!Q8&gt;=50000,0.75,cleaned_data!Q8&gt;=10000,0.5,TRUE,0.25)</f>
        <v>1</v>
      </c>
      <c r="L8" cm="1">
        <f t="array" ref="L8">_xlfn.IFS(cleaned_data!T8="","",cleaned_data!T8&lt;=10,1,cleaned_data!T8&lt;=25,0.75,cleaned_data!T8&lt;=40,0.5, cleaned_data!T8&gt;40,0.25)</f>
        <v>0.75</v>
      </c>
      <c r="M8">
        <f>IF(cleaned_data!U8="Yes",1,0)</f>
        <v>0</v>
      </c>
      <c r="N8" cm="1">
        <f t="array" ref="N8">_xlfn.IFS(cleaned_data!V8="Unknown","",cleaned_data!V8="Yes",1,TRUE,0)</f>
        <v>0</v>
      </c>
      <c r="O8" cm="1">
        <f t="array" ref="O8">_xlfn.IFS(cleaned_data!S8&gt;=4,1,cleaned_data!S8=3,0.75,cleaned_data!S8=2,0.5,cleaned_data!S8=1,0.25,TRUE,0)</f>
        <v>1</v>
      </c>
      <c r="P8" cm="1">
        <f t="array" ref="P8">_xlfn.IFS(cleaned_data!AB8&gt;=50,1,cleaned_data!AB8&gt;=35,0.75,cleaned_data!AB8&gt;=20,0.5,TRUE,0.25)</f>
        <v>0.75</v>
      </c>
      <c r="Q8" cm="1">
        <f t="array" ref="Q8">_xlfn.IFS(cleaned_data!X8&gt;=5,1,cleaned_data!X8&gt;=3,0.75,cleaned_data!X8=2,0.5,cleaned_data!X8=1,0.25,TRUE,0)</f>
        <v>1</v>
      </c>
      <c r="R8">
        <f>IF(cleaned_data!Y8="Yes",1,0)</f>
        <v>1</v>
      </c>
      <c r="S8">
        <f>IF(OR(cleaned_data!AF8="GlobalG.A.P.",cleaned_data!AF8="Fairtrade",cleaned_data!AF8="Organic (CERES)"),1,
IF(OR(cleaned_data!AF8="SIZA",cleaned_data!AF8="Woolworths TNC",cleaned_data!AF8="Checkers Good Farming"),0.75,
IF(cleaned_data!AF8="No Certificate",0,
IF(cleaned_data!AF8="Unknown","",""))))</f>
        <v>1</v>
      </c>
      <c r="T8">
        <f>IF(cleaned_data!AG8="Yes",1,0)</f>
        <v>0</v>
      </c>
      <c r="U8">
        <f>IF(OR(cleaned_data!AD8="No Loan",cleaned_data!AD8="Settled",cleaned_data!AD8="Current"),1,
IF(cleaned_data!AD8="In Arrears",0.5,
IF(cleaned_data!AD8="Defaulted",0,
IF(cleaned_data!AD8="Unknown","",""))))</f>
        <v>1</v>
      </c>
      <c r="V8" cm="1">
        <f t="array" ref="V8">_xlfn.IFS(cleaned_data!AE8&lt;=0.2,1,
cleaned_data!AE8&lt;=0.5,0.75,
cleaned_data!AE8&lt;=1,0.5,
cleaned_data!AE8&gt;1,0.25)</f>
        <v>1</v>
      </c>
      <c r="W8">
        <f>IF(cleaned_data!AJ8="Yes",1,0)</f>
        <v>1</v>
      </c>
      <c r="X8" s="2" cm="1">
        <f t="array" ref="X8">_xlfn.IFS(cleaned_data!AM8="Yes", 1,
cleaned_data!AM8="No", 0,
cleaned_data!AM8="Unknown", "")</f>
        <v>1</v>
      </c>
      <c r="Y8" cm="1">
        <f t="array" ref="Y8">_xlfn.IFS(cleaned_data!AK8="Solar", 1,
cleaned_data!AK8="Generator", 0.75,
cleaned_data!AK8="Eskom grid", 0.5,
TRUE, "")</f>
        <v>0.5</v>
      </c>
      <c r="Z8" cm="1">
        <f t="array" ref="Z8">_xlfn.IFS(cleaned_data!AL8="", "",
cleaned_data!AL8&lt;=8, 1,
cleaned_data!AL8&lt;=14, 0.75,
cleaned_data!AL8&lt;=21, 0.5,
cleaned_data!AL8&gt;=22, 0.25)</f>
        <v>0.5</v>
      </c>
      <c r="AA8" cm="1">
        <f t="array" ref="AA8">_xlfn.IFS(cleaned_data!AH8=0, 1,
cleaned_data!AH8=1, 0.75,
cleaned_data!AH8=2, 0.5,
cleaned_data!AH8&gt;=3, 0.25)</f>
        <v>0.25</v>
      </c>
      <c r="AB8" cm="1">
        <f t="array" ref="AB8">_xlfn.IFS(cleaned_data!AO8="", "",
cleaned_data!AO8&gt;=50, 1,
cleaned_data!AO8&gt;=30, 0.75,
cleaned_data!AO8&gt;=10, 0.5,
cleaned_data!AO8&lt;10, 0.25)</f>
        <v>1</v>
      </c>
      <c r="AC8" cm="1">
        <f t="array" ref="AC8">_xlfn.IFS(cleaned_data!AP8&gt;=50,1, cleaned_data!AP8&gt;=30,0.75, cleaned_data!AP8&gt;=10,0.5, cleaned_data!AP8&lt;10,0.25)</f>
        <v>1</v>
      </c>
      <c r="AD8" cm="1">
        <f t="array" ref="AD8">_xlfn.IFS(cleaned_data!AQ8&gt;=30,1,
cleaned_data!AQ8&gt;=20,0.75,
cleaned_data!AQ8&gt;=10,0.5,
cleaned_data!AQ8&lt;10,0.25)</f>
        <v>0.75</v>
      </c>
      <c r="AE8" cm="1">
        <f t="array" ref="AE8">_xlfn.IFS(cleaned_data!AR8&gt;=75,1,
cleaned_data!AR8&gt;=50,0.75,
cleaned_data!AR8&gt;=25,0.5,
cleaned_data!AR8&lt;25,0.25)</f>
        <v>0.5</v>
      </c>
      <c r="AF8">
        <f>IF(cleaned_data!AS8="Yes",1,0)</f>
        <v>0</v>
      </c>
    </row>
    <row r="9" spans="1:32" x14ac:dyDescent="0.35">
      <c r="A9" t="s">
        <v>370</v>
      </c>
      <c r="B9" t="s">
        <v>369</v>
      </c>
      <c r="C9">
        <f>IF(cleaned_data!K9="Registered",1,0)</f>
        <v>1</v>
      </c>
      <c r="D9">
        <f>IF(cleaned_data!L9="Yes",1,0)</f>
        <v>1</v>
      </c>
      <c r="E9">
        <f>IF(cleaned_data!M9="Yes",1,0)</f>
        <v>1</v>
      </c>
      <c r="F9">
        <f>IF(cleaned_data!O9="Unknown","",IF(cleaned_data!O9="Yes",1,0))</f>
        <v>1</v>
      </c>
      <c r="G9" cm="1">
        <f t="array" ref="G9">_xlfn.IFS(cleaned_data!N9="Owned",1,cleaned_data!N9="Leased",0.75,cleaned_data!N9="State land",0.5,cleaned_data!N9="Communal",0.25)</f>
        <v>0.75</v>
      </c>
      <c r="H9" s="2" cm="1">
        <f t="array" ref="H9">_xlfn.IFS(cleaned_data!G9&gt;=10,1,cleaned_data!G9&gt;=5,0.75,cleaned_data!G9&gt;=2,0.5,TRUE,0.25)</f>
        <v>1</v>
      </c>
      <c r="I9">
        <f>IF(cleaned_data!P9="None",0,1)</f>
        <v>1</v>
      </c>
      <c r="J9" s="2" cm="1">
        <f t="array" ref="J9">_xlfn.IFS(cleaned_data!H9&gt;=20,1,cleaned_data!H9&gt;=10,0.75,cleaned_data!H9&gt;=5,0.5,cleaned_data!H9&gt;=1,0.25,TRUE,0)</f>
        <v>1</v>
      </c>
      <c r="K9" cm="1">
        <f t="array" ref="K9">_xlfn.IFS(cleaned_data!Q9&gt;=100000,1,cleaned_data!Q9&gt;=50000,0.75,cleaned_data!Q9&gt;=10000,0.5,TRUE,0.25)</f>
        <v>1</v>
      </c>
      <c r="L9" cm="1">
        <f t="array" ref="L9">_xlfn.IFS(cleaned_data!T9="","",cleaned_data!T9&lt;=10,1,cleaned_data!T9&lt;=25,0.75,cleaned_data!T9&lt;=40,0.5, cleaned_data!T9&gt;40,0.25)</f>
        <v>1</v>
      </c>
      <c r="M9">
        <f>IF(cleaned_data!U9="Yes",1,0)</f>
        <v>1</v>
      </c>
      <c r="N9" cm="1">
        <f t="array" ref="N9">_xlfn.IFS(cleaned_data!V9="Unknown","",cleaned_data!V9="Yes",1,TRUE,0)</f>
        <v>1</v>
      </c>
      <c r="O9" cm="1">
        <f t="array" ref="O9">_xlfn.IFS(cleaned_data!S9&gt;=4,1,cleaned_data!S9=3,0.75,cleaned_data!S9=2,0.5,cleaned_data!S9=1,0.25,TRUE,0)</f>
        <v>0.25</v>
      </c>
      <c r="P9" cm="1">
        <f t="array" ref="P9">_xlfn.IFS(cleaned_data!AB9&gt;=50,1,cleaned_data!AB9&gt;=35,0.75,cleaned_data!AB9&gt;=20,0.5,TRUE,0.25)</f>
        <v>1</v>
      </c>
      <c r="Q9" cm="1">
        <f t="array" ref="Q9">_xlfn.IFS(cleaned_data!X9&gt;=5,1,cleaned_data!X9&gt;=3,0.75,cleaned_data!X9=2,0.5,cleaned_data!X9=1,0.25,TRUE,0)</f>
        <v>1</v>
      </c>
      <c r="R9">
        <f>IF(cleaned_data!Y9="Yes",1,0)</f>
        <v>0</v>
      </c>
      <c r="S9">
        <f>IF(OR(cleaned_data!AF9="GlobalG.A.P.",cleaned_data!AF9="Fairtrade",cleaned_data!AF9="Organic (CERES)"),1,
IF(OR(cleaned_data!AF9="SIZA",cleaned_data!AF9="Woolworths TNC",cleaned_data!AF9="Checkers Good Farming"),0.75,
IF(cleaned_data!AF9="No Certificate",0,
IF(cleaned_data!AF9="Unknown","",""))))</f>
        <v>1</v>
      </c>
      <c r="T9">
        <f>IF(cleaned_data!AG9="Yes",1,0)</f>
        <v>1</v>
      </c>
      <c r="U9">
        <f>IF(OR(cleaned_data!AD9="No Loan",cleaned_data!AD9="Settled",cleaned_data!AD9="Current"),1,
IF(cleaned_data!AD9="In Arrears",0.5,
IF(cleaned_data!AD9="Defaulted",0,
IF(cleaned_data!AD9="Unknown","",""))))</f>
        <v>1</v>
      </c>
      <c r="V9" cm="1">
        <f t="array" ref="V9">_xlfn.IFS(cleaned_data!AE9&lt;=0.2,1,
cleaned_data!AE9&lt;=0.5,0.75,
cleaned_data!AE9&lt;=1,0.5,
cleaned_data!AE9&gt;1,0.25)</f>
        <v>1</v>
      </c>
      <c r="W9">
        <f>IF(cleaned_data!AJ9="Yes",1,0)</f>
        <v>1</v>
      </c>
      <c r="X9" s="2" cm="1">
        <f t="array" ref="X9">_xlfn.IFS(cleaned_data!AM9="Yes", 1,
cleaned_data!AM9="No", 0,
cleaned_data!AM9="Unknown", "")</f>
        <v>1</v>
      </c>
      <c r="Y9" cm="1">
        <f t="array" ref="Y9">_xlfn.IFS(cleaned_data!AK9="Solar", 1,
cleaned_data!AK9="Generator", 0.75,
cleaned_data!AK9="Eskom grid", 0.5,
TRUE, "")</f>
        <v>0.5</v>
      </c>
      <c r="Z9" cm="1">
        <f t="array" ref="Z9">_xlfn.IFS(cleaned_data!AL9="", "",
cleaned_data!AL9&lt;=8, 1,
cleaned_data!AL9&lt;=14, 0.75,
cleaned_data!AL9&lt;=21, 0.5,
cleaned_data!AL9&gt;=22, 0.25)</f>
        <v>0.25</v>
      </c>
      <c r="AA9" cm="1">
        <f t="array" ref="AA9">_xlfn.IFS(cleaned_data!AH9=0, 1,
cleaned_data!AH9=1, 0.75,
cleaned_data!AH9=2, 0.5,
cleaned_data!AH9&gt;=3, 0.25)</f>
        <v>1</v>
      </c>
      <c r="AB9" cm="1">
        <f t="array" ref="AB9">_xlfn.IFS(cleaned_data!AO9="", "",
cleaned_data!AO9&gt;=50, 1,
cleaned_data!AO9&gt;=30, 0.75,
cleaned_data!AO9&gt;=10, 0.5,
cleaned_data!AO9&lt;10, 0.25)</f>
        <v>1</v>
      </c>
      <c r="AC9" cm="1">
        <f t="array" ref="AC9">_xlfn.IFS(cleaned_data!AP9&gt;=50,1, cleaned_data!AP9&gt;=30,0.75, cleaned_data!AP9&gt;=10,0.5, cleaned_data!AP9&lt;10,0.25)</f>
        <v>1</v>
      </c>
      <c r="AD9" cm="1">
        <f t="array" ref="AD9">_xlfn.IFS(cleaned_data!AQ9&gt;=30,1,
cleaned_data!AQ9&gt;=20,0.75,
cleaned_data!AQ9&gt;=10,0.5,
cleaned_data!AQ9&lt;10,0.25)</f>
        <v>0.5</v>
      </c>
      <c r="AE9" cm="1">
        <f t="array" ref="AE9">_xlfn.IFS(cleaned_data!AR9&gt;=75,1,
cleaned_data!AR9&gt;=50,0.75,
cleaned_data!AR9&gt;=25,0.5,
cleaned_data!AR9&lt;25,0.25)</f>
        <v>0.5</v>
      </c>
      <c r="AF9">
        <f>IF(cleaned_data!AS9="Yes",1,0)</f>
        <v>1</v>
      </c>
    </row>
    <row r="10" spans="1:32" x14ac:dyDescent="0.35">
      <c r="A10" t="s">
        <v>368</v>
      </c>
      <c r="B10" t="s">
        <v>323</v>
      </c>
      <c r="C10">
        <f>IF(cleaned_data!K10="Registered",1,0)</f>
        <v>1</v>
      </c>
      <c r="D10">
        <f>IF(cleaned_data!L10="Yes",1,0)</f>
        <v>0</v>
      </c>
      <c r="E10">
        <f>IF(cleaned_data!M10="Yes",1,0)</f>
        <v>1</v>
      </c>
      <c r="F10">
        <f>IF(cleaned_data!O10="Unknown","",IF(cleaned_data!O10="Yes",1,0))</f>
        <v>1</v>
      </c>
      <c r="G10" cm="1">
        <f t="array" ref="G10">_xlfn.IFS(cleaned_data!N10="Owned",1,cleaned_data!N10="Leased",0.75,cleaned_data!N10="State land",0.5,cleaned_data!N10="Communal",0.25)</f>
        <v>0.75</v>
      </c>
      <c r="H10" s="2" cm="1">
        <f t="array" ref="H10">_xlfn.IFS(cleaned_data!G10&gt;=10,1,cleaned_data!G10&gt;=5,0.75,cleaned_data!G10&gt;=2,0.5,TRUE,0.25)</f>
        <v>0.75</v>
      </c>
      <c r="I10">
        <f>IF(cleaned_data!P10="None",0,1)</f>
        <v>1</v>
      </c>
      <c r="J10" s="2" cm="1">
        <f t="array" ref="J10">_xlfn.IFS(cleaned_data!H10&gt;=20,1,cleaned_data!H10&gt;=10,0.75,cleaned_data!H10&gt;=5,0.5,cleaned_data!H10&gt;=1,0.25,TRUE,0)</f>
        <v>0.75</v>
      </c>
      <c r="K10" cm="1">
        <f t="array" ref="K10">_xlfn.IFS(cleaned_data!Q10&gt;=100000,1,cleaned_data!Q10&gt;=50000,0.75,cleaned_data!Q10&gt;=10000,0.5,TRUE,0.25)</f>
        <v>1</v>
      </c>
      <c r="L10" cm="1">
        <f t="array" ref="L10">_xlfn.IFS(cleaned_data!T10="","",cleaned_data!T10&lt;=10,1,cleaned_data!T10&lt;=25,0.75,cleaned_data!T10&lt;=40,0.5, cleaned_data!T10&gt;40,0.25)</f>
        <v>0.75</v>
      </c>
      <c r="M10">
        <f>IF(cleaned_data!U10="Yes",1,0)</f>
        <v>1</v>
      </c>
      <c r="N10" cm="1">
        <f t="array" ref="N10">_xlfn.IFS(cleaned_data!V10="Unknown","",cleaned_data!V10="Yes",1,TRUE,0)</f>
        <v>1</v>
      </c>
      <c r="O10" cm="1">
        <f t="array" ref="O10">_xlfn.IFS(cleaned_data!S10&gt;=4,1,cleaned_data!S10=3,0.75,cleaned_data!S10=2,0.5,cleaned_data!S10=1,0.25,TRUE,0)</f>
        <v>0.75</v>
      </c>
      <c r="P10" cm="1">
        <f t="array" ref="P10">_xlfn.IFS(cleaned_data!AB10&gt;=50,1,cleaned_data!AB10&gt;=35,0.75,cleaned_data!AB10&gt;=20,0.5,TRUE,0.25)</f>
        <v>0.75</v>
      </c>
      <c r="Q10" cm="1">
        <f t="array" ref="Q10">_xlfn.IFS(cleaned_data!X10&gt;=5,1,cleaned_data!X10&gt;=3,0.75,cleaned_data!X10=2,0.5,cleaned_data!X10=1,0.25,TRUE,0)</f>
        <v>1</v>
      </c>
      <c r="R10">
        <f>IF(cleaned_data!Y10="Yes",1,0)</f>
        <v>1</v>
      </c>
      <c r="S10">
        <f>IF(OR(cleaned_data!AF10="GlobalG.A.P.",cleaned_data!AF10="Fairtrade",cleaned_data!AF10="Organic (CERES)"),1,
IF(OR(cleaned_data!AF10="SIZA",cleaned_data!AF10="Woolworths TNC",cleaned_data!AF10="Checkers Good Farming"),0.75,
IF(cleaned_data!AF10="No Certificate",0,
IF(cleaned_data!AF10="Unknown","",""))))</f>
        <v>0.75</v>
      </c>
      <c r="T10">
        <f>IF(cleaned_data!AG10="Yes",1,0)</f>
        <v>0</v>
      </c>
      <c r="U10">
        <f>IF(OR(cleaned_data!AD10="No Loan",cleaned_data!AD10="Settled",cleaned_data!AD10="Current"),1,
IF(cleaned_data!AD10="In Arrears",0.5,
IF(cleaned_data!AD10="Defaulted",0,
IF(cleaned_data!AD10="Unknown","",""))))</f>
        <v>1</v>
      </c>
      <c r="V10" cm="1">
        <f t="array" ref="V10">_xlfn.IFS(cleaned_data!AE10&lt;=0.2,1,
cleaned_data!AE10&lt;=0.5,0.75,
cleaned_data!AE10&lt;=1,0.5,
cleaned_data!AE10&gt;1,0.25)</f>
        <v>1</v>
      </c>
      <c r="W10">
        <f>IF(cleaned_data!AJ10="Yes",1,0)</f>
        <v>1</v>
      </c>
      <c r="X10" s="2" cm="1">
        <f t="array" ref="X10">_xlfn.IFS(cleaned_data!AM10="Yes", 1,
cleaned_data!AM10="No", 0,
cleaned_data!AM10="Unknown", "")</f>
        <v>1</v>
      </c>
      <c r="Y10" cm="1">
        <f t="array" ref="Y10">_xlfn.IFS(cleaned_data!AK10="Solar", 1,
cleaned_data!AK10="Generator", 0.75,
cleaned_data!AK10="Eskom grid", 0.5,
TRUE, "")</f>
        <v>0.5</v>
      </c>
      <c r="Z10" cm="1">
        <f t="array" ref="Z10">_xlfn.IFS(cleaned_data!AL10="", "",
cleaned_data!AL10&lt;=8, 1,
cleaned_data!AL10&lt;=14, 0.75,
cleaned_data!AL10&lt;=21, 0.5,
cleaned_data!AL10&gt;=22, 0.25)</f>
        <v>0.5</v>
      </c>
      <c r="AA10" cm="1">
        <f t="array" ref="AA10">_xlfn.IFS(cleaned_data!AH10=0, 1,
cleaned_data!AH10=1, 0.75,
cleaned_data!AH10=2, 0.5,
cleaned_data!AH10&gt;=3, 0.25)</f>
        <v>0.75</v>
      </c>
      <c r="AB10" cm="1">
        <f t="array" ref="AB10">_xlfn.IFS(cleaned_data!AO10="", "",
cleaned_data!AO10&gt;=50, 1,
cleaned_data!AO10&gt;=30, 0.75,
cleaned_data!AO10&gt;=10, 0.5,
cleaned_data!AO10&lt;10, 0.25)</f>
        <v>1</v>
      </c>
      <c r="AC10" cm="1">
        <f t="array" ref="AC10">_xlfn.IFS(cleaned_data!AP10&gt;=50,1, cleaned_data!AP10&gt;=30,0.75, cleaned_data!AP10&gt;=10,0.5, cleaned_data!AP10&lt;10,0.25)</f>
        <v>0.5</v>
      </c>
      <c r="AD10" cm="1">
        <f t="array" ref="AD10">_xlfn.IFS(cleaned_data!AQ10&gt;=30,1,
cleaned_data!AQ10&gt;=20,0.75,
cleaned_data!AQ10&gt;=10,0.5,
cleaned_data!AQ10&lt;10,0.25)</f>
        <v>1</v>
      </c>
      <c r="AE10" cm="1">
        <f t="array" ref="AE10">_xlfn.IFS(cleaned_data!AR10&gt;=75,1,
cleaned_data!AR10&gt;=50,0.75,
cleaned_data!AR10&gt;=25,0.5,
cleaned_data!AR10&lt;25,0.25)</f>
        <v>0.75</v>
      </c>
      <c r="AF10">
        <f>IF(cleaned_data!AS10="Yes",1,0)</f>
        <v>0</v>
      </c>
    </row>
    <row r="11" spans="1:32" x14ac:dyDescent="0.35">
      <c r="A11" t="s">
        <v>367</v>
      </c>
      <c r="B11" t="s">
        <v>366</v>
      </c>
      <c r="C11">
        <f>IF(cleaned_data!K11="Registered",1,0)</f>
        <v>1</v>
      </c>
      <c r="D11">
        <f>IF(cleaned_data!L11="Yes",1,0)</f>
        <v>0</v>
      </c>
      <c r="E11">
        <f>IF(cleaned_data!M11="Yes",1,0)</f>
        <v>1</v>
      </c>
      <c r="F11">
        <f>IF(cleaned_data!O11="Unknown","",IF(cleaned_data!O11="Yes",1,0))</f>
        <v>1</v>
      </c>
      <c r="G11" cm="1">
        <f t="array" ref="G11">_xlfn.IFS(cleaned_data!N11="Owned",1,cleaned_data!N11="Leased",0.75,cleaned_data!N11="State land",0.5,cleaned_data!N11="Communal",0.25)</f>
        <v>1</v>
      </c>
      <c r="H11" s="2" cm="1">
        <f t="array" ref="H11">_xlfn.IFS(cleaned_data!G11&gt;=10,1,cleaned_data!G11&gt;=5,0.75,cleaned_data!G11&gt;=2,0.5,TRUE,0.25)</f>
        <v>1</v>
      </c>
      <c r="I11">
        <f>IF(cleaned_data!P11="None",0,1)</f>
        <v>1</v>
      </c>
      <c r="J11" s="2" cm="1">
        <f t="array" ref="J11">_xlfn.IFS(cleaned_data!H11&gt;=20,1,cleaned_data!H11&gt;=10,0.75,cleaned_data!H11&gt;=5,0.5,cleaned_data!H11&gt;=1,0.25,TRUE,0)</f>
        <v>1</v>
      </c>
      <c r="K11" cm="1">
        <f t="array" ref="K11">_xlfn.IFS(cleaned_data!Q11&gt;=100000,1,cleaned_data!Q11&gt;=50000,0.75,cleaned_data!Q11&gt;=10000,0.5,TRUE,0.25)</f>
        <v>0.25</v>
      </c>
      <c r="L11" cm="1">
        <f t="array" ref="L11">_xlfn.IFS(cleaned_data!T11="","",cleaned_data!T11&lt;=10,1,cleaned_data!T11&lt;=25,0.75,cleaned_data!T11&lt;=40,0.5, cleaned_data!T11&gt;40,0.25)</f>
        <v>1</v>
      </c>
      <c r="M11">
        <f>IF(cleaned_data!U11="Yes",1,0)</f>
        <v>1</v>
      </c>
      <c r="N11" cm="1">
        <f t="array" ref="N11">_xlfn.IFS(cleaned_data!V11="Unknown","",cleaned_data!V11="Yes",1,TRUE,0)</f>
        <v>1</v>
      </c>
      <c r="O11" cm="1">
        <f t="array" ref="O11">_xlfn.IFS(cleaned_data!S11&gt;=4,1,cleaned_data!S11=3,0.75,cleaned_data!S11=2,0.5,cleaned_data!S11=1,0.25,TRUE,0)</f>
        <v>1</v>
      </c>
      <c r="P11" cm="1">
        <f t="array" ref="P11">_xlfn.IFS(cleaned_data!AB11&gt;=50,1,cleaned_data!AB11&gt;=35,0.75,cleaned_data!AB11&gt;=20,0.5,TRUE,0.25)</f>
        <v>0.75</v>
      </c>
      <c r="Q11" cm="1">
        <f t="array" ref="Q11">_xlfn.IFS(cleaned_data!X11&gt;=5,1,cleaned_data!X11&gt;=3,0.75,cleaned_data!X11=2,0.5,cleaned_data!X11=1,0.25,TRUE,0)</f>
        <v>1</v>
      </c>
      <c r="R11">
        <f>IF(cleaned_data!Y11="Yes",1,0)</f>
        <v>1</v>
      </c>
      <c r="S11">
        <f>IF(OR(cleaned_data!AF11="GlobalG.A.P.",cleaned_data!AF11="Fairtrade",cleaned_data!AF11="Organic (CERES)"),1,
IF(OR(cleaned_data!AF11="SIZA",cleaned_data!AF11="Woolworths TNC",cleaned_data!AF11="Checkers Good Farming"),0.75,
IF(cleaned_data!AF11="No Certificate",0,
IF(cleaned_data!AF11="Unknown","",""))))</f>
        <v>0.75</v>
      </c>
      <c r="T11">
        <f>IF(cleaned_data!AG11="Yes",1,0)</f>
        <v>0</v>
      </c>
      <c r="U11">
        <f>IF(OR(cleaned_data!AD11="No Loan",cleaned_data!AD11="Settled",cleaned_data!AD11="Current"),1,
IF(cleaned_data!AD11="In Arrears",0.5,
IF(cleaned_data!AD11="Defaulted",0,
IF(cleaned_data!AD11="Unknown","",""))))</f>
        <v>1</v>
      </c>
      <c r="V11" cm="1">
        <f t="array" ref="V11">_xlfn.IFS(cleaned_data!AE11&lt;=0.2,1,
cleaned_data!AE11&lt;=0.5,0.75,
cleaned_data!AE11&lt;=1,0.5,
cleaned_data!AE11&gt;1,0.25)</f>
        <v>0.25</v>
      </c>
      <c r="W11">
        <f>IF(cleaned_data!AJ11="Yes",1,0)</f>
        <v>1</v>
      </c>
      <c r="X11" s="2" cm="1">
        <f t="array" ref="X11">_xlfn.IFS(cleaned_data!AM11="Yes", 1,
cleaned_data!AM11="No", 0,
cleaned_data!AM11="Unknown", "")</f>
        <v>1</v>
      </c>
      <c r="Y11" cm="1">
        <f t="array" ref="Y11">_xlfn.IFS(cleaned_data!AK11="Solar", 1,
cleaned_data!AK11="Generator", 0.75,
cleaned_data!AK11="Eskom grid", 0.5,
TRUE, "")</f>
        <v>0.75</v>
      </c>
      <c r="Z11" cm="1">
        <f t="array" ref="Z11">_xlfn.IFS(cleaned_data!AL11="", "",
cleaned_data!AL11&lt;=8, 1,
cleaned_data!AL11&lt;=14, 0.75,
cleaned_data!AL11&lt;=21, 0.5,
cleaned_data!AL11&gt;=22, 0.25)</f>
        <v>1</v>
      </c>
      <c r="AA11" cm="1">
        <f t="array" ref="AA11">_xlfn.IFS(cleaned_data!AH11=0, 1,
cleaned_data!AH11=1, 0.75,
cleaned_data!AH11=2, 0.5,
cleaned_data!AH11&gt;=3, 0.25)</f>
        <v>1</v>
      </c>
      <c r="AB11" cm="1">
        <f t="array" ref="AB11">_xlfn.IFS(cleaned_data!AO11="", "",
cleaned_data!AO11&gt;=50, 1,
cleaned_data!AO11&gt;=30, 0.75,
cleaned_data!AO11&gt;=10, 0.5,
cleaned_data!AO11&lt;10, 0.25)</f>
        <v>1</v>
      </c>
      <c r="AC11" cm="1">
        <f t="array" ref="AC11">_xlfn.IFS(cleaned_data!AP11&gt;=50,1, cleaned_data!AP11&gt;=30,0.75, cleaned_data!AP11&gt;=10,0.5, cleaned_data!AP11&lt;10,0.25)</f>
        <v>0.5</v>
      </c>
      <c r="AD11" cm="1">
        <f t="array" ref="AD11">_xlfn.IFS(cleaned_data!AQ11&gt;=30,1,
cleaned_data!AQ11&gt;=20,0.75,
cleaned_data!AQ11&gt;=10,0.5,
cleaned_data!AQ11&lt;10,0.25)</f>
        <v>1</v>
      </c>
      <c r="AE11" cm="1">
        <f t="array" ref="AE11">_xlfn.IFS(cleaned_data!AR11&gt;=75,1,
cleaned_data!AR11&gt;=50,0.75,
cleaned_data!AR11&gt;=25,0.5,
cleaned_data!AR11&lt;25,0.25)</f>
        <v>0.75</v>
      </c>
      <c r="AF11">
        <f>IF(cleaned_data!AS11="Yes",1,0)</f>
        <v>0</v>
      </c>
    </row>
    <row r="12" spans="1:32" hidden="1" x14ac:dyDescent="0.35">
      <c r="A12" t="s">
        <v>365</v>
      </c>
      <c r="B12" t="s">
        <v>364</v>
      </c>
      <c r="C12">
        <f>IF(cleaned_data!K12="Registered",1,0)</f>
        <v>1</v>
      </c>
      <c r="D12">
        <f>IF(cleaned_data!L12="Yes",1,0)</f>
        <v>1</v>
      </c>
      <c r="E12">
        <f>IF(cleaned_data!M12="Yes",1,0)</f>
        <v>1</v>
      </c>
      <c r="F12" t="str">
        <f>IF(cleaned_data!O12="Unknown","",IF(cleaned_data!O12="Yes",1,0))</f>
        <v/>
      </c>
      <c r="G12" cm="1">
        <f t="array" ref="G12">_xlfn.IFS(cleaned_data!N12="Owned",1,cleaned_data!N12="Leased",0.75,cleaned_data!N12="State land",0.5,cleaned_data!N12="Communal",0.25)</f>
        <v>1</v>
      </c>
      <c r="H12" s="2" cm="1">
        <f t="array" ref="H12">_xlfn.IFS(cleaned_data!G12&gt;=10,1,cleaned_data!G12&gt;=5,0.75,cleaned_data!G12&gt;=2,0.5,TRUE,0.25)</f>
        <v>1</v>
      </c>
      <c r="I12">
        <f>IF(cleaned_data!P12="None",0,1)</f>
        <v>1</v>
      </c>
      <c r="J12" s="2" cm="1">
        <f t="array" ref="J12">_xlfn.IFS(cleaned_data!H12&gt;=20,1,cleaned_data!H12&gt;=10,0.75,cleaned_data!H12&gt;=5,0.5,cleaned_data!H12&gt;=1,0.25,TRUE,0)</f>
        <v>1</v>
      </c>
      <c r="K12" cm="1">
        <f t="array" ref="K12">_xlfn.IFS(cleaned_data!Q12&gt;=100000,1,cleaned_data!Q12&gt;=50000,0.75,cleaned_data!Q12&gt;=10000,0.5,TRUE,0.25)</f>
        <v>1</v>
      </c>
      <c r="L12" cm="1">
        <f t="array" ref="L12">_xlfn.IFS(cleaned_data!T12="","",cleaned_data!T12&lt;=10,1,cleaned_data!T12&lt;=25,0.75,cleaned_data!T12&lt;=40,0.5, cleaned_data!T12&gt;40,0.25)</f>
        <v>0.75</v>
      </c>
      <c r="M12">
        <f>IF(cleaned_data!U12="Yes",1,0)</f>
        <v>1</v>
      </c>
      <c r="N12" cm="1">
        <f t="array" ref="N12">_xlfn.IFS(cleaned_data!V12="Unknown","",cleaned_data!V12="Yes",1,TRUE,0)</f>
        <v>1</v>
      </c>
      <c r="O12" cm="1">
        <f t="array" ref="O12">_xlfn.IFS(cleaned_data!S12&gt;=4,1,cleaned_data!S12=3,0.75,cleaned_data!S12=2,0.5,cleaned_data!S12=1,0.25,TRUE,0)</f>
        <v>0.5</v>
      </c>
      <c r="P12" cm="1">
        <f t="array" ref="P12">_xlfn.IFS(cleaned_data!AB12&gt;=50,1,cleaned_data!AB12&gt;=35,0.75,cleaned_data!AB12&gt;=20,0.5,TRUE,0.25)</f>
        <v>0.75</v>
      </c>
      <c r="Q12" cm="1">
        <f t="array" ref="Q12">_xlfn.IFS(cleaned_data!X12&gt;=5,1,cleaned_data!X12&gt;=3,0.75,cleaned_data!X12=2,0.5,cleaned_data!X12=1,0.25,TRUE,0)</f>
        <v>0.75</v>
      </c>
      <c r="R12">
        <f>IF(cleaned_data!Y12="Yes",1,0)</f>
        <v>0</v>
      </c>
      <c r="S12">
        <f>IF(OR(cleaned_data!AF12="GlobalG.A.P.",cleaned_data!AF12="Fairtrade",cleaned_data!AF12="Organic (CERES)"),1,
IF(OR(cleaned_data!AF12="SIZA",cleaned_data!AF12="Woolworths TNC",cleaned_data!AF12="Checkers Good Farming"),0.75,
IF(cleaned_data!AF12="No Certificate",0,
IF(cleaned_data!AF12="Unknown","",""))))</f>
        <v>1</v>
      </c>
      <c r="T12">
        <f>IF(cleaned_data!AG12="Yes",1,0)</f>
        <v>0</v>
      </c>
      <c r="U12">
        <f>IF(OR(cleaned_data!AD12="No Loan",cleaned_data!AD12="Settled",cleaned_data!AD12="Current"),1,
IF(cleaned_data!AD12="In Arrears",0.5,
IF(cleaned_data!AD12="Defaulted",0,
IF(cleaned_data!AD12="Unknown","",""))))</f>
        <v>0.5</v>
      </c>
      <c r="V12" cm="1">
        <f t="array" ref="V12">_xlfn.IFS(cleaned_data!AE12&lt;=0.2,1,
cleaned_data!AE12&lt;=0.5,0.75,
cleaned_data!AE12&lt;=1,0.5,
cleaned_data!AE12&gt;1,0.25)</f>
        <v>1</v>
      </c>
      <c r="W12">
        <f>IF(cleaned_data!AJ12="Yes",1,0)</f>
        <v>1</v>
      </c>
      <c r="X12" s="2" cm="1">
        <f t="array" ref="X12">_xlfn.IFS(cleaned_data!AM12="Yes", 1,
cleaned_data!AM12="No", 0,
cleaned_data!AM12="Unknown", "")</f>
        <v>1</v>
      </c>
      <c r="Y12" cm="1">
        <f t="array" ref="Y12">_xlfn.IFS(cleaned_data!AK12="Solar", 1,
cleaned_data!AK12="Generator", 0.75,
cleaned_data!AK12="Eskom grid", 0.5,
TRUE, "")</f>
        <v>1</v>
      </c>
      <c r="Z12" cm="1">
        <f t="array" ref="Z12">_xlfn.IFS(cleaned_data!AL12="", "",
cleaned_data!AL12&lt;=8, 1,
cleaned_data!AL12&lt;=14, 0.75,
cleaned_data!AL12&lt;=21, 0.5,
cleaned_data!AL12&gt;=22, 0.25)</f>
        <v>1</v>
      </c>
      <c r="AA12" cm="1">
        <f t="array" ref="AA12">_xlfn.IFS(cleaned_data!AH12=0, 1,
cleaned_data!AH12=1, 0.75,
cleaned_data!AH12=2, 0.5,
cleaned_data!AH12&gt;=3, 0.25)</f>
        <v>1</v>
      </c>
      <c r="AB12" cm="1">
        <f t="array" ref="AB12">_xlfn.IFS(cleaned_data!AO12="", "",
cleaned_data!AO12&gt;=50, 1,
cleaned_data!AO12&gt;=30, 0.75,
cleaned_data!AO12&gt;=10, 0.5,
cleaned_data!AO12&lt;10, 0.25)</f>
        <v>0.75</v>
      </c>
      <c r="AC12" cm="1">
        <f t="array" ref="AC12">_xlfn.IFS(cleaned_data!AP12&gt;=50,1, cleaned_data!AP12&gt;=30,0.75, cleaned_data!AP12&gt;=10,0.5, cleaned_data!AP12&lt;10,0.25)</f>
        <v>0.5</v>
      </c>
      <c r="AD12" cm="1">
        <f t="array" ref="AD12">_xlfn.IFS(cleaned_data!AQ12&gt;=30,1,
cleaned_data!AQ12&gt;=20,0.75,
cleaned_data!AQ12&gt;=10,0.5,
cleaned_data!AQ12&lt;10,0.25)</f>
        <v>1</v>
      </c>
      <c r="AE12" cm="1">
        <f t="array" ref="AE12">_xlfn.IFS(cleaned_data!AR12&gt;=75,1,
cleaned_data!AR12&gt;=50,0.75,
cleaned_data!AR12&gt;=25,0.5,
cleaned_data!AR12&lt;25,0.25)</f>
        <v>0.5</v>
      </c>
      <c r="AF12">
        <f>IF(cleaned_data!AS12="Yes",1,0)</f>
        <v>0</v>
      </c>
    </row>
    <row r="13" spans="1:32" x14ac:dyDescent="0.35">
      <c r="A13" t="s">
        <v>363</v>
      </c>
      <c r="B13" t="s">
        <v>342</v>
      </c>
      <c r="C13">
        <f>IF(cleaned_data!K13="Registered",1,0)</f>
        <v>1</v>
      </c>
      <c r="D13">
        <f>IF(cleaned_data!L13="Yes",1,0)</f>
        <v>1</v>
      </c>
      <c r="E13">
        <f>IF(cleaned_data!M13="Yes",1,0)</f>
        <v>1</v>
      </c>
      <c r="F13">
        <f>IF(cleaned_data!O13="Unknown","",IF(cleaned_data!O13="Yes",1,0))</f>
        <v>1</v>
      </c>
      <c r="G13" cm="1">
        <f t="array" ref="G13">_xlfn.IFS(cleaned_data!N13="Owned",1,cleaned_data!N13="Leased",0.75,cleaned_data!N13="State land",0.5,cleaned_data!N13="Communal",0.25)</f>
        <v>1</v>
      </c>
      <c r="H13" s="2" cm="1">
        <f t="array" ref="H13">_xlfn.IFS(cleaned_data!G13&gt;=10,1,cleaned_data!G13&gt;=5,0.75,cleaned_data!G13&gt;=2,0.5,TRUE,0.25)</f>
        <v>1</v>
      </c>
      <c r="I13">
        <f>IF(cleaned_data!P13="None",0,1)</f>
        <v>1</v>
      </c>
      <c r="J13" s="2" cm="1">
        <f t="array" ref="J13">_xlfn.IFS(cleaned_data!H13&gt;=20,1,cleaned_data!H13&gt;=10,0.75,cleaned_data!H13&gt;=5,0.5,cleaned_data!H13&gt;=1,0.25,TRUE,0)</f>
        <v>1</v>
      </c>
      <c r="K13" cm="1">
        <f t="array" ref="K13">_xlfn.IFS(cleaned_data!Q13&gt;=100000,1,cleaned_data!Q13&gt;=50000,0.75,cleaned_data!Q13&gt;=10000,0.5,TRUE,0.25)</f>
        <v>1</v>
      </c>
      <c r="L13" cm="1">
        <f t="array" ref="L13">_xlfn.IFS(cleaned_data!T13="","",cleaned_data!T13&lt;=10,1,cleaned_data!T13&lt;=25,0.75,cleaned_data!T13&lt;=40,0.5, cleaned_data!T13&gt;40,0.25)</f>
        <v>0.75</v>
      </c>
      <c r="M13">
        <f>IF(cleaned_data!U13="Yes",1,0)</f>
        <v>1</v>
      </c>
      <c r="N13" cm="1">
        <f t="array" ref="N13">_xlfn.IFS(cleaned_data!V13="Unknown","",cleaned_data!V13="Yes",1,TRUE,0)</f>
        <v>0</v>
      </c>
      <c r="O13" cm="1">
        <f t="array" ref="O13">_xlfn.IFS(cleaned_data!S13&gt;=4,1,cleaned_data!S13=3,0.75,cleaned_data!S13=2,0.5,cleaned_data!S13=1,0.25,TRUE,0)</f>
        <v>1</v>
      </c>
      <c r="P13" cm="1">
        <f t="array" ref="P13">_xlfn.IFS(cleaned_data!AB13&gt;=50,1,cleaned_data!AB13&gt;=35,0.75,cleaned_data!AB13&gt;=20,0.5,TRUE,0.25)</f>
        <v>0.75</v>
      </c>
      <c r="Q13" cm="1">
        <f t="array" ref="Q13">_xlfn.IFS(cleaned_data!X13&gt;=5,1,cleaned_data!X13&gt;=3,0.75,cleaned_data!X13=2,0.5,cleaned_data!X13=1,0.25,TRUE,0)</f>
        <v>1</v>
      </c>
      <c r="R13">
        <f>IF(cleaned_data!Y13="Yes",1,0)</f>
        <v>1</v>
      </c>
      <c r="S13">
        <f>IF(OR(cleaned_data!AF13="GlobalG.A.P.",cleaned_data!AF13="Fairtrade",cleaned_data!AF13="Organic (CERES)"),1,
IF(OR(cleaned_data!AF13="SIZA",cleaned_data!AF13="Woolworths TNC",cleaned_data!AF13="Checkers Good Farming"),0.75,
IF(cleaned_data!AF13="No Certificate",0,
IF(cleaned_data!AF13="Unknown","",""))))</f>
        <v>1</v>
      </c>
      <c r="T13">
        <f>IF(cleaned_data!AG13="Yes",1,0)</f>
        <v>0</v>
      </c>
      <c r="U13">
        <f>IF(OR(cleaned_data!AD13="No Loan",cleaned_data!AD13="Settled",cleaned_data!AD13="Current"),1,
IF(cleaned_data!AD13="In Arrears",0.5,
IF(cleaned_data!AD13="Defaulted",0,
IF(cleaned_data!AD13="Unknown","",""))))</f>
        <v>1</v>
      </c>
      <c r="V13" cm="1">
        <f t="array" ref="V13">_xlfn.IFS(cleaned_data!AE13&lt;=0.2,1,
cleaned_data!AE13&lt;=0.5,0.75,
cleaned_data!AE13&lt;=1,0.5,
cleaned_data!AE13&gt;1,0.25)</f>
        <v>1</v>
      </c>
      <c r="W13">
        <f>IF(cleaned_data!AJ13="Yes",1,0)</f>
        <v>1</v>
      </c>
      <c r="X13" s="2" cm="1">
        <f t="array" ref="X13">_xlfn.IFS(cleaned_data!AM13="Yes", 1,
cleaned_data!AM13="No", 0,
cleaned_data!AM13="Unknown", "")</f>
        <v>1</v>
      </c>
      <c r="Y13" cm="1">
        <f t="array" ref="Y13">_xlfn.IFS(cleaned_data!AK13="Solar", 1,
cleaned_data!AK13="Generator", 0.75,
cleaned_data!AK13="Eskom grid", 0.5,
TRUE, "")</f>
        <v>0.5</v>
      </c>
      <c r="Z13" cm="1">
        <f t="array" ref="Z13">_xlfn.IFS(cleaned_data!AL13="", "",
cleaned_data!AL13&lt;=8, 1,
cleaned_data!AL13&lt;=14, 0.75,
cleaned_data!AL13&lt;=21, 0.5,
cleaned_data!AL13&gt;=22, 0.25)</f>
        <v>0.5</v>
      </c>
      <c r="AA13" cm="1">
        <f t="array" ref="AA13">_xlfn.IFS(cleaned_data!AH13=0, 1,
cleaned_data!AH13=1, 0.75,
cleaned_data!AH13=2, 0.5,
cleaned_data!AH13&gt;=3, 0.25)</f>
        <v>0.5</v>
      </c>
      <c r="AB13" cm="1">
        <f t="array" ref="AB13">_xlfn.IFS(cleaned_data!AO13="", "",
cleaned_data!AO13&gt;=50, 1,
cleaned_data!AO13&gt;=30, 0.75,
cleaned_data!AO13&gt;=10, 0.5,
cleaned_data!AO13&lt;10, 0.25)</f>
        <v>1</v>
      </c>
      <c r="AC13" cm="1">
        <f t="array" ref="AC13">_xlfn.IFS(cleaned_data!AP13&gt;=50,1, cleaned_data!AP13&gt;=30,0.75, cleaned_data!AP13&gt;=10,0.5, cleaned_data!AP13&lt;10,0.25)</f>
        <v>0.5</v>
      </c>
      <c r="AD13" cm="1">
        <f t="array" ref="AD13">_xlfn.IFS(cleaned_data!AQ13&gt;=30,1,
cleaned_data!AQ13&gt;=20,0.75,
cleaned_data!AQ13&gt;=10,0.5,
cleaned_data!AQ13&lt;10,0.25)</f>
        <v>0.5</v>
      </c>
      <c r="AE13" cm="1">
        <f t="array" ref="AE13">_xlfn.IFS(cleaned_data!AR13&gt;=75,1,
cleaned_data!AR13&gt;=50,0.75,
cleaned_data!AR13&gt;=25,0.5,
cleaned_data!AR13&lt;25,0.25)</f>
        <v>0.75</v>
      </c>
      <c r="AF13">
        <f>IF(cleaned_data!AS13="Yes",1,0)</f>
        <v>1</v>
      </c>
    </row>
    <row r="14" spans="1:32" x14ac:dyDescent="0.35">
      <c r="A14" t="s">
        <v>362</v>
      </c>
      <c r="B14" t="s">
        <v>361</v>
      </c>
      <c r="C14">
        <f>IF(cleaned_data!K14="Registered",1,0)</f>
        <v>1</v>
      </c>
      <c r="D14">
        <f>IF(cleaned_data!L14="Yes",1,0)</f>
        <v>0</v>
      </c>
      <c r="E14">
        <f>IF(cleaned_data!M14="Yes",1,0)</f>
        <v>1</v>
      </c>
      <c r="F14">
        <f>IF(cleaned_data!O14="Unknown","",IF(cleaned_data!O14="Yes",1,0))</f>
        <v>1</v>
      </c>
      <c r="G14" cm="1">
        <f t="array" ref="G14">_xlfn.IFS(cleaned_data!N14="Owned",1,cleaned_data!N14="Leased",0.75,cleaned_data!N14="State land",0.5,cleaned_data!N14="Communal",0.25)</f>
        <v>1</v>
      </c>
      <c r="H14" s="2" cm="1">
        <f t="array" ref="H14">_xlfn.IFS(cleaned_data!G14&gt;=10,1,cleaned_data!G14&gt;=5,0.75,cleaned_data!G14&gt;=2,0.5,TRUE,0.25)</f>
        <v>1</v>
      </c>
      <c r="I14">
        <f>IF(cleaned_data!P14="None",0,1)</f>
        <v>1</v>
      </c>
      <c r="J14" s="2" cm="1">
        <f t="array" ref="J14">_xlfn.IFS(cleaned_data!H14&gt;=20,1,cleaned_data!H14&gt;=10,0.75,cleaned_data!H14&gt;=5,0.5,cleaned_data!H14&gt;=1,0.25,TRUE,0)</f>
        <v>1</v>
      </c>
      <c r="K14" cm="1">
        <f t="array" ref="K14">_xlfn.IFS(cleaned_data!Q14&gt;=100000,1,cleaned_data!Q14&gt;=50000,0.75,cleaned_data!Q14&gt;=10000,0.5,TRUE,0.25)</f>
        <v>1</v>
      </c>
      <c r="L14" cm="1">
        <f t="array" ref="L14">_xlfn.IFS(cleaned_data!T14="","",cleaned_data!T14&lt;=10,1,cleaned_data!T14&lt;=25,0.75,cleaned_data!T14&lt;=40,0.5, cleaned_data!T14&gt;40,0.25)</f>
        <v>0.75</v>
      </c>
      <c r="M14">
        <f>IF(cleaned_data!U14="Yes",1,0)</f>
        <v>0</v>
      </c>
      <c r="N14" cm="1">
        <f t="array" ref="N14">_xlfn.IFS(cleaned_data!V14="Unknown","",cleaned_data!V14="Yes",1,TRUE,0)</f>
        <v>0</v>
      </c>
      <c r="O14" cm="1">
        <f t="array" ref="O14">_xlfn.IFS(cleaned_data!S14&gt;=4,1,cleaned_data!S14=3,0.75,cleaned_data!S14=2,0.5,cleaned_data!S14=1,0.25,TRUE,0)</f>
        <v>1</v>
      </c>
      <c r="P14" cm="1">
        <f t="array" ref="P14">_xlfn.IFS(cleaned_data!AB14&gt;=50,1,cleaned_data!AB14&gt;=35,0.75,cleaned_data!AB14&gt;=20,0.5,TRUE,0.25)</f>
        <v>0.75</v>
      </c>
      <c r="Q14" cm="1">
        <f t="array" ref="Q14">_xlfn.IFS(cleaned_data!X14&gt;=5,1,cleaned_data!X14&gt;=3,0.75,cleaned_data!X14=2,0.5,cleaned_data!X14=1,0.25,TRUE,0)</f>
        <v>1</v>
      </c>
      <c r="R14">
        <f>IF(cleaned_data!Y14="Yes",1,0)</f>
        <v>1</v>
      </c>
      <c r="S14">
        <f>IF(OR(cleaned_data!AF14="GlobalG.A.P.",cleaned_data!AF14="Fairtrade",cleaned_data!AF14="Organic (CERES)"),1,
IF(OR(cleaned_data!AF14="SIZA",cleaned_data!AF14="Woolworths TNC",cleaned_data!AF14="Checkers Good Farming"),0.75,
IF(cleaned_data!AF14="No Certificate",0,
IF(cleaned_data!AF14="Unknown","",""))))</f>
        <v>1</v>
      </c>
      <c r="T14">
        <f>IF(cleaned_data!AG14="Yes",1,0)</f>
        <v>0</v>
      </c>
      <c r="U14">
        <f>IF(OR(cleaned_data!AD14="No Loan",cleaned_data!AD14="Settled",cleaned_data!AD14="Current"),1,
IF(cleaned_data!AD14="In Arrears",0.5,
IF(cleaned_data!AD14="Defaulted",0,
IF(cleaned_data!AD14="Unknown","",""))))</f>
        <v>1</v>
      </c>
      <c r="V14" cm="1">
        <f t="array" ref="V14">_xlfn.IFS(cleaned_data!AE14&lt;=0.2,1,
cleaned_data!AE14&lt;=0.5,0.75,
cleaned_data!AE14&lt;=1,0.5,
cleaned_data!AE14&gt;1,0.25)</f>
        <v>1</v>
      </c>
      <c r="W14">
        <f>IF(cleaned_data!AJ14="Yes",1,0)</f>
        <v>1</v>
      </c>
      <c r="X14" s="2" cm="1">
        <f t="array" ref="X14">_xlfn.IFS(cleaned_data!AM14="Yes", 1,
cleaned_data!AM14="No", 0,
cleaned_data!AM14="Unknown", "")</f>
        <v>0</v>
      </c>
      <c r="Y14" cm="1">
        <f t="array" ref="Y14">_xlfn.IFS(cleaned_data!AK14="Solar", 1,
cleaned_data!AK14="Generator", 0.75,
cleaned_data!AK14="Eskom grid", 0.5,
TRUE, "")</f>
        <v>1</v>
      </c>
      <c r="Z14" cm="1">
        <f t="array" ref="Z14">_xlfn.IFS(cleaned_data!AL14="", "",
cleaned_data!AL14&lt;=8, 1,
cleaned_data!AL14&lt;=14, 0.75,
cleaned_data!AL14&lt;=21, 0.5,
cleaned_data!AL14&gt;=22, 0.25)</f>
        <v>1</v>
      </c>
      <c r="AA14" cm="1">
        <f t="array" ref="AA14">_xlfn.IFS(cleaned_data!AH14=0, 1,
cleaned_data!AH14=1, 0.75,
cleaned_data!AH14=2, 0.5,
cleaned_data!AH14&gt;=3, 0.25)</f>
        <v>0.25</v>
      </c>
      <c r="AB14" cm="1">
        <f t="array" ref="AB14">_xlfn.IFS(cleaned_data!AO14="", "",
cleaned_data!AO14&gt;=50, 1,
cleaned_data!AO14&gt;=30, 0.75,
cleaned_data!AO14&gt;=10, 0.5,
cleaned_data!AO14&lt;10, 0.25)</f>
        <v>1</v>
      </c>
      <c r="AC14" cm="1">
        <f t="array" ref="AC14">_xlfn.IFS(cleaned_data!AP14&gt;=50,1, cleaned_data!AP14&gt;=30,0.75, cleaned_data!AP14&gt;=10,0.5, cleaned_data!AP14&lt;10,0.25)</f>
        <v>1</v>
      </c>
      <c r="AD14" cm="1">
        <f t="array" ref="AD14">_xlfn.IFS(cleaned_data!AQ14&gt;=30,1,
cleaned_data!AQ14&gt;=20,0.75,
cleaned_data!AQ14&gt;=10,0.5,
cleaned_data!AQ14&lt;10,0.25)</f>
        <v>1</v>
      </c>
      <c r="AE14" cm="1">
        <f t="array" ref="AE14">_xlfn.IFS(cleaned_data!AR14&gt;=75,1,
cleaned_data!AR14&gt;=50,0.75,
cleaned_data!AR14&gt;=25,0.5,
cleaned_data!AR14&lt;25,0.25)</f>
        <v>0.5</v>
      </c>
      <c r="AF14">
        <f>IF(cleaned_data!AS14="Yes",1,0)</f>
        <v>0</v>
      </c>
    </row>
    <row r="15" spans="1:32" x14ac:dyDescent="0.35">
      <c r="A15" t="s">
        <v>360</v>
      </c>
      <c r="B15" t="s">
        <v>359</v>
      </c>
      <c r="C15">
        <f>IF(cleaned_data!K15="Registered",1,0)</f>
        <v>1</v>
      </c>
      <c r="D15">
        <f>IF(cleaned_data!L15="Yes",1,0)</f>
        <v>1</v>
      </c>
      <c r="E15">
        <f>IF(cleaned_data!M15="Yes",1,0)</f>
        <v>1</v>
      </c>
      <c r="F15">
        <f>IF(cleaned_data!O15="Unknown","",IF(cleaned_data!O15="Yes",1,0))</f>
        <v>1</v>
      </c>
      <c r="G15" cm="1">
        <f t="array" ref="G15">_xlfn.IFS(cleaned_data!N15="Owned",1,cleaned_data!N15="Leased",0.75,cleaned_data!N15="State land",0.5,cleaned_data!N15="Communal",0.25)</f>
        <v>1</v>
      </c>
      <c r="H15" s="2" cm="1">
        <f t="array" ref="H15">_xlfn.IFS(cleaned_data!G15&gt;=10,1,cleaned_data!G15&gt;=5,0.75,cleaned_data!G15&gt;=2,0.5,TRUE,0.25)</f>
        <v>0.75</v>
      </c>
      <c r="I15">
        <f>IF(cleaned_data!P15="None",0,1)</f>
        <v>0</v>
      </c>
      <c r="J15" s="2" cm="1">
        <f t="array" ref="J15">_xlfn.IFS(cleaned_data!H15&gt;=20,1,cleaned_data!H15&gt;=10,0.75,cleaned_data!H15&gt;=5,0.5,cleaned_data!H15&gt;=1,0.25,TRUE,0)</f>
        <v>1</v>
      </c>
      <c r="K15" cm="1">
        <f t="array" ref="K15">_xlfn.IFS(cleaned_data!Q15&gt;=100000,1,cleaned_data!Q15&gt;=50000,0.75,cleaned_data!Q15&gt;=10000,0.5,TRUE,0.25)</f>
        <v>1</v>
      </c>
      <c r="L15" cm="1">
        <f t="array" ref="L15">_xlfn.IFS(cleaned_data!T15="","",cleaned_data!T15&lt;=10,1,cleaned_data!T15&lt;=25,0.75,cleaned_data!T15&lt;=40,0.5, cleaned_data!T15&gt;40,0.25)</f>
        <v>1</v>
      </c>
      <c r="M15">
        <f>IF(cleaned_data!U15="Yes",1,0)</f>
        <v>1</v>
      </c>
      <c r="N15" cm="1">
        <f t="array" ref="N15">_xlfn.IFS(cleaned_data!V15="Unknown","",cleaned_data!V15="Yes",1,TRUE,0)</f>
        <v>0</v>
      </c>
      <c r="O15" cm="1">
        <f t="array" ref="O15">_xlfn.IFS(cleaned_data!S15&gt;=4,1,cleaned_data!S15=3,0.75,cleaned_data!S15=2,0.5,cleaned_data!S15=1,0.25,TRUE,0)</f>
        <v>0.75</v>
      </c>
      <c r="P15" cm="1">
        <f t="array" ref="P15">_xlfn.IFS(cleaned_data!AB15&gt;=50,1,cleaned_data!AB15&gt;=35,0.75,cleaned_data!AB15&gt;=20,0.5,TRUE,0.25)</f>
        <v>1</v>
      </c>
      <c r="Q15" cm="1">
        <f t="array" ref="Q15">_xlfn.IFS(cleaned_data!X15&gt;=5,1,cleaned_data!X15&gt;=3,0.75,cleaned_data!X15=2,0.5,cleaned_data!X15=1,0.25,TRUE,0)</f>
        <v>0.75</v>
      </c>
      <c r="R15">
        <f>IF(cleaned_data!Y15="Yes",1,0)</f>
        <v>0</v>
      </c>
      <c r="S15">
        <f>IF(OR(cleaned_data!AF15="GlobalG.A.P.",cleaned_data!AF15="Fairtrade",cleaned_data!AF15="Organic (CERES)"),1,
IF(OR(cleaned_data!AF15="SIZA",cleaned_data!AF15="Woolworths TNC",cleaned_data!AF15="Checkers Good Farming"),0.75,
IF(cleaned_data!AF15="No Certificate",0,
IF(cleaned_data!AF15="Unknown","",""))))</f>
        <v>1</v>
      </c>
      <c r="T15">
        <f>IF(cleaned_data!AG15="Yes",1,0)</f>
        <v>1</v>
      </c>
      <c r="U15">
        <f>IF(OR(cleaned_data!AD15="No Loan",cleaned_data!AD15="Settled",cleaned_data!AD15="Current"),1,
IF(cleaned_data!AD15="In Arrears",0.5,
IF(cleaned_data!AD15="Defaulted",0,
IF(cleaned_data!AD15="Unknown","",""))))</f>
        <v>1</v>
      </c>
      <c r="V15" cm="1">
        <f t="array" ref="V15">_xlfn.IFS(cleaned_data!AE15&lt;=0.2,1,
cleaned_data!AE15&lt;=0.5,0.75,
cleaned_data!AE15&lt;=1,0.5,
cleaned_data!AE15&gt;1,0.25)</f>
        <v>1</v>
      </c>
      <c r="W15">
        <f>IF(cleaned_data!AJ15="Yes",1,0)</f>
        <v>1</v>
      </c>
      <c r="X15" s="2" cm="1">
        <f t="array" ref="X15">_xlfn.IFS(cleaned_data!AM15="Yes", 1,
cleaned_data!AM15="No", 0,
cleaned_data!AM15="Unknown", "")</f>
        <v>0</v>
      </c>
      <c r="Y15" cm="1">
        <f t="array" ref="Y15">_xlfn.IFS(cleaned_data!AK15="Solar", 1,
cleaned_data!AK15="Generator", 0.75,
cleaned_data!AK15="Eskom grid", 0.5,
TRUE, "")</f>
        <v>0.5</v>
      </c>
      <c r="Z15" cm="1">
        <f t="array" ref="Z15">_xlfn.IFS(cleaned_data!AL15="", "",
cleaned_data!AL15&lt;=8, 1,
cleaned_data!AL15&lt;=14, 0.75,
cleaned_data!AL15&lt;=21, 0.5,
cleaned_data!AL15&gt;=22, 0.25)</f>
        <v>0.5</v>
      </c>
      <c r="AA15" cm="1">
        <f t="array" ref="AA15">_xlfn.IFS(cleaned_data!AH15=0, 1,
cleaned_data!AH15=1, 0.75,
cleaned_data!AH15=2, 0.5,
cleaned_data!AH15&gt;=3, 0.25)</f>
        <v>0.5</v>
      </c>
      <c r="AB15" cm="1">
        <f t="array" ref="AB15">_xlfn.IFS(cleaned_data!AO15="", "",
cleaned_data!AO15&gt;=50, 1,
cleaned_data!AO15&gt;=30, 0.75,
cleaned_data!AO15&gt;=10, 0.5,
cleaned_data!AO15&lt;10, 0.25)</f>
        <v>1</v>
      </c>
      <c r="AC15" cm="1">
        <f t="array" ref="AC15">_xlfn.IFS(cleaned_data!AP15&gt;=50,1, cleaned_data!AP15&gt;=30,0.75, cleaned_data!AP15&gt;=10,0.5, cleaned_data!AP15&lt;10,0.25)</f>
        <v>0.5</v>
      </c>
      <c r="AD15" cm="1">
        <f t="array" ref="AD15">_xlfn.IFS(cleaned_data!AQ15&gt;=30,1,
cleaned_data!AQ15&gt;=20,0.75,
cleaned_data!AQ15&gt;=10,0.5,
cleaned_data!AQ15&lt;10,0.25)</f>
        <v>0.5</v>
      </c>
      <c r="AE15" cm="1">
        <f t="array" ref="AE15">_xlfn.IFS(cleaned_data!AR15&gt;=75,1,
cleaned_data!AR15&gt;=50,0.75,
cleaned_data!AR15&gt;=25,0.5,
cleaned_data!AR15&lt;25,0.25)</f>
        <v>0.75</v>
      </c>
      <c r="AF15">
        <f>IF(cleaned_data!AS15="Yes",1,0)</f>
        <v>0</v>
      </c>
    </row>
    <row r="16" spans="1:32" hidden="1" x14ac:dyDescent="0.35">
      <c r="A16" t="s">
        <v>358</v>
      </c>
      <c r="B16" t="s">
        <v>357</v>
      </c>
      <c r="C16">
        <f>IF(cleaned_data!K16="Registered",1,0)</f>
        <v>1</v>
      </c>
      <c r="D16">
        <f>IF(cleaned_data!L16="Yes",1,0)</f>
        <v>1</v>
      </c>
      <c r="E16">
        <f>IF(cleaned_data!M16="Yes",1,0)</f>
        <v>1</v>
      </c>
      <c r="F16">
        <f>IF(cleaned_data!O16="Unknown","",IF(cleaned_data!O16="Yes",1,0))</f>
        <v>0</v>
      </c>
      <c r="G16" cm="1">
        <f t="array" ref="G16">_xlfn.IFS(cleaned_data!N16="Owned",1,cleaned_data!N16="Leased",0.75,cleaned_data!N16="State land",0.5,cleaned_data!N16="Communal",0.25)</f>
        <v>1</v>
      </c>
      <c r="H16" s="2" cm="1">
        <f t="array" ref="H16">_xlfn.IFS(cleaned_data!G16&gt;=10,1,cleaned_data!G16&gt;=5,0.75,cleaned_data!G16&gt;=2,0.5,TRUE,0.25)</f>
        <v>1</v>
      </c>
      <c r="I16">
        <f>IF(cleaned_data!P16="None",0,1)</f>
        <v>1</v>
      </c>
      <c r="J16" s="2" cm="1">
        <f t="array" ref="J16">_xlfn.IFS(cleaned_data!H16&gt;=20,1,cleaned_data!H16&gt;=10,0.75,cleaned_data!H16&gt;=5,0.5,cleaned_data!H16&gt;=1,0.25,TRUE,0)</f>
        <v>1</v>
      </c>
      <c r="K16" cm="1">
        <f t="array" ref="K16">_xlfn.IFS(cleaned_data!Q16&gt;=100000,1,cleaned_data!Q16&gt;=50000,0.75,cleaned_data!Q16&gt;=10000,0.5,TRUE,0.25)</f>
        <v>1</v>
      </c>
      <c r="L16" cm="1">
        <f t="array" ref="L16">_xlfn.IFS(cleaned_data!T16="","",cleaned_data!T16&lt;=10,1,cleaned_data!T16&lt;=25,0.75,cleaned_data!T16&lt;=40,0.5, cleaned_data!T16&gt;40,0.25)</f>
        <v>0.75</v>
      </c>
      <c r="M16">
        <f>IF(cleaned_data!U16="Yes",1,0)</f>
        <v>1</v>
      </c>
      <c r="N16" t="str" cm="1">
        <f t="array" ref="N16">_xlfn.IFS(cleaned_data!V16="Unknown","",cleaned_data!V16="Yes",1,TRUE,0)</f>
        <v/>
      </c>
      <c r="O16" cm="1">
        <f t="array" ref="O16">_xlfn.IFS(cleaned_data!S16&gt;=4,1,cleaned_data!S16=3,0.75,cleaned_data!S16=2,0.5,cleaned_data!S16=1,0.25,TRUE,0)</f>
        <v>0.25</v>
      </c>
      <c r="P16" cm="1">
        <f t="array" ref="P16">_xlfn.IFS(cleaned_data!AB16&gt;=50,1,cleaned_data!AB16&gt;=35,0.75,cleaned_data!AB16&gt;=20,0.5,TRUE,0.25)</f>
        <v>0.5</v>
      </c>
      <c r="Q16" cm="1">
        <f t="array" ref="Q16">_xlfn.IFS(cleaned_data!X16&gt;=5,1,cleaned_data!X16&gt;=3,0.75,cleaned_data!X16=2,0.5,cleaned_data!X16=1,0.25,TRUE,0)</f>
        <v>0.75</v>
      </c>
      <c r="R16">
        <f>IF(cleaned_data!Y16="Yes",1,0)</f>
        <v>1</v>
      </c>
      <c r="S16">
        <f>IF(OR(cleaned_data!AF16="GlobalG.A.P.",cleaned_data!AF16="Fairtrade",cleaned_data!AF16="Organic (CERES)"),1,
IF(OR(cleaned_data!AF16="SIZA",cleaned_data!AF16="Woolworths TNC",cleaned_data!AF16="Checkers Good Farming"),0.75,
IF(cleaned_data!AF16="No Certificate",0,
IF(cleaned_data!AF16="Unknown","",""))))</f>
        <v>1</v>
      </c>
      <c r="T16">
        <f>IF(cleaned_data!AG16="Yes",1,0)</f>
        <v>1</v>
      </c>
      <c r="U16">
        <f>IF(OR(cleaned_data!AD16="No Loan",cleaned_data!AD16="Settled",cleaned_data!AD16="Current"),1,
IF(cleaned_data!AD16="In Arrears",0.5,
IF(cleaned_data!AD16="Defaulted",0,
IF(cleaned_data!AD16="Unknown","",""))))</f>
        <v>1</v>
      </c>
      <c r="V16" cm="1">
        <f t="array" ref="V16">_xlfn.IFS(cleaned_data!AE16&lt;=0.2,1,
cleaned_data!AE16&lt;=0.5,0.75,
cleaned_data!AE16&lt;=1,0.5,
cleaned_data!AE16&gt;1,0.25)</f>
        <v>1</v>
      </c>
      <c r="W16">
        <f>IF(cleaned_data!AJ16="Yes",1,0)</f>
        <v>1</v>
      </c>
      <c r="X16" s="2" cm="1">
        <f t="array" ref="X16">_xlfn.IFS(cleaned_data!AM16="Yes", 1,
cleaned_data!AM16="No", 0,
cleaned_data!AM16="Unknown", "")</f>
        <v>0</v>
      </c>
      <c r="Y16" cm="1">
        <f t="array" ref="Y16">_xlfn.IFS(cleaned_data!AK16="Solar", 1,
cleaned_data!AK16="Generator", 0.75,
cleaned_data!AK16="Eskom grid", 0.5,
TRUE, "")</f>
        <v>1</v>
      </c>
      <c r="Z16" cm="1">
        <f t="array" ref="Z16">_xlfn.IFS(cleaned_data!AL16="", "",
cleaned_data!AL16&lt;=8, 1,
cleaned_data!AL16&lt;=14, 0.75,
cleaned_data!AL16&lt;=21, 0.5,
cleaned_data!AL16&gt;=22, 0.25)</f>
        <v>1</v>
      </c>
      <c r="AA16" cm="1">
        <f t="array" ref="AA16">_xlfn.IFS(cleaned_data!AH16=0, 1,
cleaned_data!AH16=1, 0.75,
cleaned_data!AH16=2, 0.5,
cleaned_data!AH16&gt;=3, 0.25)</f>
        <v>0.25</v>
      </c>
      <c r="AB16" cm="1">
        <f t="array" ref="AB16">_xlfn.IFS(cleaned_data!AO16="", "",
cleaned_data!AO16&gt;=50, 1,
cleaned_data!AO16&gt;=30, 0.75,
cleaned_data!AO16&gt;=10, 0.5,
cleaned_data!AO16&lt;10, 0.25)</f>
        <v>0.75</v>
      </c>
      <c r="AC16" cm="1">
        <f t="array" ref="AC16">_xlfn.IFS(cleaned_data!AP16&gt;=50,1, cleaned_data!AP16&gt;=30,0.75, cleaned_data!AP16&gt;=10,0.5, cleaned_data!AP16&lt;10,0.25)</f>
        <v>0.5</v>
      </c>
      <c r="AD16" cm="1">
        <f t="array" ref="AD16">_xlfn.IFS(cleaned_data!AQ16&gt;=30,1,
cleaned_data!AQ16&gt;=20,0.75,
cleaned_data!AQ16&gt;=10,0.5,
cleaned_data!AQ16&lt;10,0.25)</f>
        <v>1</v>
      </c>
      <c r="AE16" cm="1">
        <f t="array" ref="AE16">_xlfn.IFS(cleaned_data!AR16&gt;=75,1,
cleaned_data!AR16&gt;=50,0.75,
cleaned_data!AR16&gt;=25,0.5,
cleaned_data!AR16&lt;25,0.25)</f>
        <v>0.75</v>
      </c>
      <c r="AF16">
        <f>IF(cleaned_data!AS16="Yes",1,0)</f>
        <v>0</v>
      </c>
    </row>
    <row r="17" spans="1:32" x14ac:dyDescent="0.35">
      <c r="A17" t="s">
        <v>356</v>
      </c>
      <c r="B17" t="s">
        <v>355</v>
      </c>
      <c r="C17">
        <f>IF(cleaned_data!K17="Registered",1,0)</f>
        <v>1</v>
      </c>
      <c r="D17">
        <f>IF(cleaned_data!L17="Yes",1,0)</f>
        <v>1</v>
      </c>
      <c r="E17">
        <f>IF(cleaned_data!M17="Yes",1,0)</f>
        <v>1</v>
      </c>
      <c r="F17">
        <f>IF(cleaned_data!O17="Unknown","",IF(cleaned_data!O17="Yes",1,0))</f>
        <v>1</v>
      </c>
      <c r="G17" cm="1">
        <f t="array" ref="G17">_xlfn.IFS(cleaned_data!N17="Owned",1,cleaned_data!N17="Leased",0.75,cleaned_data!N17="State land",0.5,cleaned_data!N17="Communal",0.25)</f>
        <v>1</v>
      </c>
      <c r="H17" s="2" cm="1">
        <f t="array" ref="H17">_xlfn.IFS(cleaned_data!G17&gt;=10,1,cleaned_data!G17&gt;=5,0.75,cleaned_data!G17&gt;=2,0.5,TRUE,0.25)</f>
        <v>1</v>
      </c>
      <c r="I17">
        <f>IF(cleaned_data!P17="None",0,1)</f>
        <v>1</v>
      </c>
      <c r="J17" s="2" cm="1">
        <f t="array" ref="J17">_xlfn.IFS(cleaned_data!H17&gt;=20,1,cleaned_data!H17&gt;=10,0.75,cleaned_data!H17&gt;=5,0.5,cleaned_data!H17&gt;=1,0.25,TRUE,0)</f>
        <v>0.75</v>
      </c>
      <c r="K17" cm="1">
        <f t="array" ref="K17">_xlfn.IFS(cleaned_data!Q17&gt;=100000,1,cleaned_data!Q17&gt;=50000,0.75,cleaned_data!Q17&gt;=10000,0.5,TRUE,0.25)</f>
        <v>1</v>
      </c>
      <c r="L17" cm="1">
        <f t="array" ref="L17">_xlfn.IFS(cleaned_data!T17="","",cleaned_data!T17&lt;=10,1,cleaned_data!T17&lt;=25,0.75,cleaned_data!T17&lt;=40,0.5, cleaned_data!T17&gt;40,0.25)</f>
        <v>0.75</v>
      </c>
      <c r="M17">
        <f>IF(cleaned_data!U17="Yes",1,0)</f>
        <v>1</v>
      </c>
      <c r="N17" cm="1">
        <f t="array" ref="N17">_xlfn.IFS(cleaned_data!V17="Unknown","",cleaned_data!V17="Yes",1,TRUE,0)</f>
        <v>1</v>
      </c>
      <c r="O17" cm="1">
        <f t="array" ref="O17">_xlfn.IFS(cleaned_data!S17&gt;=4,1,cleaned_data!S17=3,0.75,cleaned_data!S17=2,0.5,cleaned_data!S17=1,0.25,TRUE,0)</f>
        <v>1</v>
      </c>
      <c r="P17" cm="1">
        <f t="array" ref="P17">_xlfn.IFS(cleaned_data!AB17&gt;=50,1,cleaned_data!AB17&gt;=35,0.75,cleaned_data!AB17&gt;=20,0.5,TRUE,0.25)</f>
        <v>1</v>
      </c>
      <c r="Q17" cm="1">
        <f t="array" ref="Q17">_xlfn.IFS(cleaned_data!X17&gt;=5,1,cleaned_data!X17&gt;=3,0.75,cleaned_data!X17=2,0.5,cleaned_data!X17=1,0.25,TRUE,0)</f>
        <v>1</v>
      </c>
      <c r="R17">
        <f>IF(cleaned_data!Y17="Yes",1,0)</f>
        <v>0</v>
      </c>
      <c r="S17">
        <f>IF(OR(cleaned_data!AF17="GlobalG.A.P.",cleaned_data!AF17="Fairtrade",cleaned_data!AF17="Organic (CERES)"),1,
IF(OR(cleaned_data!AF17="SIZA",cleaned_data!AF17="Woolworths TNC",cleaned_data!AF17="Checkers Good Farming"),0.75,
IF(cleaned_data!AF17="No Certificate",0,
IF(cleaned_data!AF17="Unknown","",""))))</f>
        <v>0.75</v>
      </c>
      <c r="T17">
        <f>IF(cleaned_data!AG17="Yes",1,0)</f>
        <v>0</v>
      </c>
      <c r="U17">
        <f>IF(OR(cleaned_data!AD17="No Loan",cleaned_data!AD17="Settled",cleaned_data!AD17="Current"),1,
IF(cleaned_data!AD17="In Arrears",0.5,
IF(cleaned_data!AD17="Defaulted",0,
IF(cleaned_data!AD17="Unknown","",""))))</f>
        <v>1</v>
      </c>
      <c r="V17" cm="1">
        <f t="array" ref="V17">_xlfn.IFS(cleaned_data!AE17&lt;=0.2,1,
cleaned_data!AE17&lt;=0.5,0.75,
cleaned_data!AE17&lt;=1,0.5,
cleaned_data!AE17&gt;1,0.25)</f>
        <v>1</v>
      </c>
      <c r="W17">
        <f>IF(cleaned_data!AJ17="Yes",1,0)</f>
        <v>0</v>
      </c>
      <c r="X17" s="2" cm="1">
        <f t="array" ref="X17">_xlfn.IFS(cleaned_data!AM17="Yes", 1,
cleaned_data!AM17="No", 0,
cleaned_data!AM17="Unknown", "")</f>
        <v>1</v>
      </c>
      <c r="Y17" cm="1">
        <f t="array" ref="Y17">_xlfn.IFS(cleaned_data!AK17="Solar", 1,
cleaned_data!AK17="Generator", 0.75,
cleaned_data!AK17="Eskom grid", 0.5,
TRUE, "")</f>
        <v>1</v>
      </c>
      <c r="Z17" cm="1">
        <f t="array" ref="Z17">_xlfn.IFS(cleaned_data!AL17="", "",
cleaned_data!AL17&lt;=8, 1,
cleaned_data!AL17&lt;=14, 0.75,
cleaned_data!AL17&lt;=21, 0.5,
cleaned_data!AL17&gt;=22, 0.25)</f>
        <v>1</v>
      </c>
      <c r="AA17" cm="1">
        <f t="array" ref="AA17">_xlfn.IFS(cleaned_data!AH17=0, 1,
cleaned_data!AH17=1, 0.75,
cleaned_data!AH17=2, 0.5,
cleaned_data!AH17&gt;=3, 0.25)</f>
        <v>0.25</v>
      </c>
      <c r="AB17" cm="1">
        <f t="array" ref="AB17">_xlfn.IFS(cleaned_data!AO17="", "",
cleaned_data!AO17&gt;=50, 1,
cleaned_data!AO17&gt;=30, 0.75,
cleaned_data!AO17&gt;=10, 0.5,
cleaned_data!AO17&lt;10, 0.25)</f>
        <v>1</v>
      </c>
      <c r="AC17" cm="1">
        <f t="array" ref="AC17">_xlfn.IFS(cleaned_data!AP17&gt;=50,1, cleaned_data!AP17&gt;=30,0.75, cleaned_data!AP17&gt;=10,0.5, cleaned_data!AP17&lt;10,0.25)</f>
        <v>0.5</v>
      </c>
      <c r="AD17" cm="1">
        <f t="array" ref="AD17">_xlfn.IFS(cleaned_data!AQ17&gt;=30,1,
cleaned_data!AQ17&gt;=20,0.75,
cleaned_data!AQ17&gt;=10,0.5,
cleaned_data!AQ17&lt;10,0.25)</f>
        <v>0.5</v>
      </c>
      <c r="AE17" cm="1">
        <f t="array" ref="AE17">_xlfn.IFS(cleaned_data!AR17&gt;=75,1,
cleaned_data!AR17&gt;=50,0.75,
cleaned_data!AR17&gt;=25,0.5,
cleaned_data!AR17&lt;25,0.25)</f>
        <v>0.5</v>
      </c>
      <c r="AF17">
        <f>IF(cleaned_data!AS17="Yes",1,0)</f>
        <v>1</v>
      </c>
    </row>
    <row r="18" spans="1:32" hidden="1" x14ac:dyDescent="0.35">
      <c r="A18" t="s">
        <v>354</v>
      </c>
      <c r="B18" t="s">
        <v>353</v>
      </c>
      <c r="C18">
        <f>IF(cleaned_data!K18="Registered",1,0)</f>
        <v>1</v>
      </c>
      <c r="D18">
        <f>IF(cleaned_data!L18="Yes",1,0)</f>
        <v>0</v>
      </c>
      <c r="E18">
        <f>IF(cleaned_data!M18="Yes",1,0)</f>
        <v>1</v>
      </c>
      <c r="F18">
        <f>IF(cleaned_data!O18="Unknown","",IF(cleaned_data!O18="Yes",1,0))</f>
        <v>1</v>
      </c>
      <c r="G18" cm="1">
        <f t="array" ref="G18">_xlfn.IFS(cleaned_data!N18="Owned",1,cleaned_data!N18="Leased",0.75,cleaned_data!N18="State land",0.5,cleaned_data!N18="Communal",0.25)</f>
        <v>1</v>
      </c>
      <c r="H18" s="2" cm="1">
        <f t="array" ref="H18">_xlfn.IFS(cleaned_data!G18&gt;=10,1,cleaned_data!G18&gt;=5,0.75,cleaned_data!G18&gt;=2,0.5,TRUE,0.25)</f>
        <v>1</v>
      </c>
      <c r="I18">
        <f>IF(cleaned_data!P18="None",0,1)</f>
        <v>1</v>
      </c>
      <c r="J18" s="2" cm="1">
        <f t="array" ref="J18">_xlfn.IFS(cleaned_data!H18&gt;=20,1,cleaned_data!H18&gt;=10,0.75,cleaned_data!H18&gt;=5,0.5,cleaned_data!H18&gt;=1,0.25,TRUE,0)</f>
        <v>1</v>
      </c>
      <c r="K18" cm="1">
        <f t="array" ref="K18">_xlfn.IFS(cleaned_data!Q18&gt;=100000,1,cleaned_data!Q18&gt;=50000,0.75,cleaned_data!Q18&gt;=10000,0.5,TRUE,0.25)</f>
        <v>1</v>
      </c>
      <c r="L18" cm="1">
        <f t="array" ref="L18">_xlfn.IFS(cleaned_data!T18="","",cleaned_data!T18&lt;=10,1,cleaned_data!T18&lt;=25,0.75,cleaned_data!T18&lt;=40,0.5, cleaned_data!T18&gt;40,0.25)</f>
        <v>1</v>
      </c>
      <c r="M18">
        <f>IF(cleaned_data!U18="Yes",1,0)</f>
        <v>1</v>
      </c>
      <c r="N18" cm="1">
        <f t="array" ref="N18">_xlfn.IFS(cleaned_data!V18="Unknown","",cleaned_data!V18="Yes",1,TRUE,0)</f>
        <v>1</v>
      </c>
      <c r="O18" cm="1">
        <f t="array" ref="O18">_xlfn.IFS(cleaned_data!S18&gt;=4,1,cleaned_data!S18=3,0.75,cleaned_data!S18=2,0.5,cleaned_data!S18=1,0.25,TRUE,0)</f>
        <v>1</v>
      </c>
      <c r="P18" cm="1">
        <f t="array" ref="P18">_xlfn.IFS(cleaned_data!AB18&gt;=50,1,cleaned_data!AB18&gt;=35,0.75,cleaned_data!AB18&gt;=20,0.5,TRUE,0.25)</f>
        <v>1</v>
      </c>
      <c r="Q18" cm="1">
        <f t="array" ref="Q18">_xlfn.IFS(cleaned_data!X18&gt;=5,1,cleaned_data!X18&gt;=3,0.75,cleaned_data!X18=2,0.5,cleaned_data!X18=1,0.25,TRUE,0)</f>
        <v>1</v>
      </c>
      <c r="R18">
        <f>IF(cleaned_data!Y18="Yes",1,0)</f>
        <v>1</v>
      </c>
      <c r="S18" t="str">
        <f>IF(OR(cleaned_data!AF18="GlobalG.A.P.",cleaned_data!AF18="Fairtrade",cleaned_data!AF18="Organic (CERES)"),1,
IF(OR(cleaned_data!AF18="SIZA",cleaned_data!AF18="Woolworths TNC",cleaned_data!AF18="Checkers Good Farming"),0.75,
IF(cleaned_data!AF18="No Certificate",0,
IF(cleaned_data!AF18="Unknown","",""))))</f>
        <v/>
      </c>
      <c r="T18">
        <f>IF(cleaned_data!AG18="Yes",1,0)</f>
        <v>1</v>
      </c>
      <c r="U18">
        <f>IF(OR(cleaned_data!AD18="No Loan",cleaned_data!AD18="Settled",cleaned_data!AD18="Current"),1,
IF(cleaned_data!AD18="In Arrears",0.5,
IF(cleaned_data!AD18="Defaulted",0,
IF(cleaned_data!AD18="Unknown","",""))))</f>
        <v>1</v>
      </c>
      <c r="V18" cm="1">
        <f t="array" ref="V18">_xlfn.IFS(cleaned_data!AE18&lt;=0.2,1,
cleaned_data!AE18&lt;=0.5,0.75,
cleaned_data!AE18&lt;=1,0.5,
cleaned_data!AE18&gt;1,0.25)</f>
        <v>1</v>
      </c>
      <c r="W18">
        <f>IF(cleaned_data!AJ18="Yes",1,0)</f>
        <v>1</v>
      </c>
      <c r="X18" s="2" cm="1">
        <f t="array" ref="X18">_xlfn.IFS(cleaned_data!AM18="Yes", 1,
cleaned_data!AM18="No", 0,
cleaned_data!AM18="Unknown", "")</f>
        <v>1</v>
      </c>
      <c r="Y18" cm="1">
        <f t="array" ref="Y18">_xlfn.IFS(cleaned_data!AK18="Solar", 1,
cleaned_data!AK18="Generator", 0.75,
cleaned_data!AK18="Eskom grid", 0.5,
TRUE, "")</f>
        <v>0.5</v>
      </c>
      <c r="Z18" cm="1">
        <f t="array" ref="Z18">_xlfn.IFS(cleaned_data!AL18="", "",
cleaned_data!AL18&lt;=8, 1,
cleaned_data!AL18&lt;=14, 0.75,
cleaned_data!AL18&lt;=21, 0.5,
cleaned_data!AL18&gt;=22, 0.25)</f>
        <v>0.75</v>
      </c>
      <c r="AA18" cm="1">
        <f t="array" ref="AA18">_xlfn.IFS(cleaned_data!AH18=0, 1,
cleaned_data!AH18=1, 0.75,
cleaned_data!AH18=2, 0.5,
cleaned_data!AH18&gt;=3, 0.25)</f>
        <v>0.25</v>
      </c>
      <c r="AB18" cm="1">
        <f t="array" ref="AB18">_xlfn.IFS(cleaned_data!AO18="", "",
cleaned_data!AO18&gt;=50, 1,
cleaned_data!AO18&gt;=30, 0.75,
cleaned_data!AO18&gt;=10, 0.5,
cleaned_data!AO18&lt;10, 0.25)</f>
        <v>0.5</v>
      </c>
      <c r="AC18" cm="1">
        <f t="array" ref="AC18">_xlfn.IFS(cleaned_data!AP18&gt;=50,1, cleaned_data!AP18&gt;=30,0.75, cleaned_data!AP18&gt;=10,0.5, cleaned_data!AP18&lt;10,0.25)</f>
        <v>1</v>
      </c>
      <c r="AD18" cm="1">
        <f t="array" ref="AD18">_xlfn.IFS(cleaned_data!AQ18&gt;=30,1,
cleaned_data!AQ18&gt;=20,0.75,
cleaned_data!AQ18&gt;=10,0.5,
cleaned_data!AQ18&lt;10,0.25)</f>
        <v>1</v>
      </c>
      <c r="AE18" cm="1">
        <f t="array" ref="AE18">_xlfn.IFS(cleaned_data!AR18&gt;=75,1,
cleaned_data!AR18&gt;=50,0.75,
cleaned_data!AR18&gt;=25,0.5,
cleaned_data!AR18&lt;25,0.25)</f>
        <v>0.5</v>
      </c>
      <c r="AF18">
        <f>IF(cleaned_data!AS18="Yes",1,0)</f>
        <v>1</v>
      </c>
    </row>
    <row r="19" spans="1:32" x14ac:dyDescent="0.35">
      <c r="A19" t="s">
        <v>352</v>
      </c>
      <c r="B19" t="s">
        <v>351</v>
      </c>
      <c r="C19">
        <f>IF(cleaned_data!K19="Registered",1,0)</f>
        <v>1</v>
      </c>
      <c r="D19">
        <f>IF(cleaned_data!L19="Yes",1,0)</f>
        <v>0</v>
      </c>
      <c r="E19">
        <f>IF(cleaned_data!M19="Yes",1,0)</f>
        <v>1</v>
      </c>
      <c r="F19">
        <f>IF(cleaned_data!O19="Unknown","",IF(cleaned_data!O19="Yes",1,0))</f>
        <v>1</v>
      </c>
      <c r="G19" cm="1">
        <f t="array" ref="G19">_xlfn.IFS(cleaned_data!N19="Owned",1,cleaned_data!N19="Leased",0.75,cleaned_data!N19="State land",0.5,cleaned_data!N19="Communal",0.25)</f>
        <v>1</v>
      </c>
      <c r="H19" s="2" cm="1">
        <f t="array" ref="H19">_xlfn.IFS(cleaned_data!G19&gt;=10,1,cleaned_data!G19&gt;=5,0.75,cleaned_data!G19&gt;=2,0.5,TRUE,0.25)</f>
        <v>1</v>
      </c>
      <c r="I19">
        <f>IF(cleaned_data!P19="None",0,1)</f>
        <v>0</v>
      </c>
      <c r="J19" s="2" cm="1">
        <f t="array" ref="J19">_xlfn.IFS(cleaned_data!H19&gt;=20,1,cleaned_data!H19&gt;=10,0.75,cleaned_data!H19&gt;=5,0.5,cleaned_data!H19&gt;=1,0.25,TRUE,0)</f>
        <v>1</v>
      </c>
      <c r="K19" cm="1">
        <f t="array" ref="K19">_xlfn.IFS(cleaned_data!Q19&gt;=100000,1,cleaned_data!Q19&gt;=50000,0.75,cleaned_data!Q19&gt;=10000,0.5,TRUE,0.25)</f>
        <v>1</v>
      </c>
      <c r="L19" cm="1">
        <f t="array" ref="L19">_xlfn.IFS(cleaned_data!T19="","",cleaned_data!T19&lt;=10,1,cleaned_data!T19&lt;=25,0.75,cleaned_data!T19&lt;=40,0.5, cleaned_data!T19&gt;40,0.25)</f>
        <v>1</v>
      </c>
      <c r="M19">
        <f>IF(cleaned_data!U19="Yes",1,0)</f>
        <v>1</v>
      </c>
      <c r="N19" cm="1">
        <f t="array" ref="N19">_xlfn.IFS(cleaned_data!V19="Unknown","",cleaned_data!V19="Yes",1,TRUE,0)</f>
        <v>1</v>
      </c>
      <c r="O19" cm="1">
        <f t="array" ref="O19">_xlfn.IFS(cleaned_data!S19&gt;=4,1,cleaned_data!S19=3,0.75,cleaned_data!S19=2,0.5,cleaned_data!S19=1,0.25,TRUE,0)</f>
        <v>0.25</v>
      </c>
      <c r="P19" cm="1">
        <f t="array" ref="P19">_xlfn.IFS(cleaned_data!AB19&gt;=50,1,cleaned_data!AB19&gt;=35,0.75,cleaned_data!AB19&gt;=20,0.5,TRUE,0.25)</f>
        <v>1</v>
      </c>
      <c r="Q19" cm="1">
        <f t="array" ref="Q19">_xlfn.IFS(cleaned_data!X19&gt;=5,1,cleaned_data!X19&gt;=3,0.75,cleaned_data!X19=2,0.5,cleaned_data!X19=1,0.25,TRUE,0)</f>
        <v>1</v>
      </c>
      <c r="R19">
        <f>IF(cleaned_data!Y19="Yes",1,0)</f>
        <v>1</v>
      </c>
      <c r="S19">
        <f>IF(OR(cleaned_data!AF19="GlobalG.A.P.",cleaned_data!AF19="Fairtrade",cleaned_data!AF19="Organic (CERES)"),1,
IF(OR(cleaned_data!AF19="SIZA",cleaned_data!AF19="Woolworths TNC",cleaned_data!AF19="Checkers Good Farming"),0.75,
IF(cleaned_data!AF19="No Certificate",0,
IF(cleaned_data!AF19="Unknown","",""))))</f>
        <v>1</v>
      </c>
      <c r="T19">
        <f>IF(cleaned_data!AG19="Yes",1,0)</f>
        <v>1</v>
      </c>
      <c r="U19">
        <f>IF(OR(cleaned_data!AD19="No Loan",cleaned_data!AD19="Settled",cleaned_data!AD19="Current"),1,
IF(cleaned_data!AD19="In Arrears",0.5,
IF(cleaned_data!AD19="Defaulted",0,
IF(cleaned_data!AD19="Unknown","",""))))</f>
        <v>1</v>
      </c>
      <c r="V19" cm="1">
        <f t="array" ref="V19">_xlfn.IFS(cleaned_data!AE19&lt;=0.2,1,
cleaned_data!AE19&lt;=0.5,0.75,
cleaned_data!AE19&lt;=1,0.5,
cleaned_data!AE19&gt;1,0.25)</f>
        <v>1</v>
      </c>
      <c r="W19">
        <f>IF(cleaned_data!AJ19="Yes",1,0)</f>
        <v>1</v>
      </c>
      <c r="X19" s="2" cm="1">
        <f t="array" ref="X19">_xlfn.IFS(cleaned_data!AM19="Yes", 1,
cleaned_data!AM19="No", 0,
cleaned_data!AM19="Unknown", "")</f>
        <v>1</v>
      </c>
      <c r="Y19" cm="1">
        <f t="array" ref="Y19">_xlfn.IFS(cleaned_data!AK19="Solar", 1,
cleaned_data!AK19="Generator", 0.75,
cleaned_data!AK19="Eskom grid", 0.5,
TRUE, "")</f>
        <v>1</v>
      </c>
      <c r="Z19" cm="1">
        <f t="array" ref="Z19">_xlfn.IFS(cleaned_data!AL19="", "",
cleaned_data!AL19&lt;=8, 1,
cleaned_data!AL19&lt;=14, 0.75,
cleaned_data!AL19&lt;=21, 0.5,
cleaned_data!AL19&gt;=22, 0.25)</f>
        <v>1</v>
      </c>
      <c r="AA19" cm="1">
        <f t="array" ref="AA19">_xlfn.IFS(cleaned_data!AH19=0, 1,
cleaned_data!AH19=1, 0.75,
cleaned_data!AH19=2, 0.5,
cleaned_data!AH19&gt;=3, 0.25)</f>
        <v>0.5</v>
      </c>
      <c r="AB19" cm="1">
        <f t="array" ref="AB19">_xlfn.IFS(cleaned_data!AO19="", "",
cleaned_data!AO19&gt;=50, 1,
cleaned_data!AO19&gt;=30, 0.75,
cleaned_data!AO19&gt;=10, 0.5,
cleaned_data!AO19&lt;10, 0.25)</f>
        <v>1</v>
      </c>
      <c r="AC19" cm="1">
        <f t="array" ref="AC19">_xlfn.IFS(cleaned_data!AP19&gt;=50,1, cleaned_data!AP19&gt;=30,0.75, cleaned_data!AP19&gt;=10,0.5, cleaned_data!AP19&lt;10,0.25)</f>
        <v>1</v>
      </c>
      <c r="AD19" cm="1">
        <f t="array" ref="AD19">_xlfn.IFS(cleaned_data!AQ19&gt;=30,1,
cleaned_data!AQ19&gt;=20,0.75,
cleaned_data!AQ19&gt;=10,0.5,
cleaned_data!AQ19&lt;10,0.25)</f>
        <v>0.25</v>
      </c>
      <c r="AE19" cm="1">
        <f t="array" ref="AE19">_xlfn.IFS(cleaned_data!AR19&gt;=75,1,
cleaned_data!AR19&gt;=50,0.75,
cleaned_data!AR19&gt;=25,0.5,
cleaned_data!AR19&lt;25,0.25)</f>
        <v>0.75</v>
      </c>
      <c r="AF19">
        <f>IF(cleaned_data!AS19="Yes",1,0)</f>
        <v>1</v>
      </c>
    </row>
    <row r="20" spans="1:32" x14ac:dyDescent="0.35">
      <c r="A20" t="s">
        <v>350</v>
      </c>
      <c r="B20" t="s">
        <v>349</v>
      </c>
      <c r="C20">
        <f>IF(cleaned_data!K20="Registered",1,0)</f>
        <v>1</v>
      </c>
      <c r="D20">
        <f>IF(cleaned_data!L20="Yes",1,0)</f>
        <v>1</v>
      </c>
      <c r="E20">
        <f>IF(cleaned_data!M20="Yes",1,0)</f>
        <v>1</v>
      </c>
      <c r="F20">
        <f>IF(cleaned_data!O20="Unknown","",IF(cleaned_data!O20="Yes",1,0))</f>
        <v>1</v>
      </c>
      <c r="G20" cm="1">
        <f t="array" ref="G20">_xlfn.IFS(cleaned_data!N20="Owned",1,cleaned_data!N20="Leased",0.75,cleaned_data!N20="State land",0.5,cleaned_data!N20="Communal",0.25)</f>
        <v>1</v>
      </c>
      <c r="H20" s="2" cm="1">
        <f t="array" ref="H20">_xlfn.IFS(cleaned_data!G20&gt;=10,1,cleaned_data!G20&gt;=5,0.75,cleaned_data!G20&gt;=2,0.5,TRUE,0.25)</f>
        <v>0.5</v>
      </c>
      <c r="I20">
        <f>IF(cleaned_data!P20="None",0,1)</f>
        <v>0</v>
      </c>
      <c r="J20" s="2" cm="1">
        <f t="array" ref="J20">_xlfn.IFS(cleaned_data!H20&gt;=20,1,cleaned_data!H20&gt;=10,0.75,cleaned_data!H20&gt;=5,0.5,cleaned_data!H20&gt;=1,0.25,TRUE,0)</f>
        <v>1</v>
      </c>
      <c r="K20" cm="1">
        <f t="array" ref="K20">_xlfn.IFS(cleaned_data!Q20&gt;=100000,1,cleaned_data!Q20&gt;=50000,0.75,cleaned_data!Q20&gt;=10000,0.5,TRUE,0.25)</f>
        <v>1</v>
      </c>
      <c r="L20" cm="1">
        <f t="array" ref="L20">_xlfn.IFS(cleaned_data!T20="","",cleaned_data!T20&lt;=10,1,cleaned_data!T20&lt;=25,0.75,cleaned_data!T20&lt;=40,0.5, cleaned_data!T20&gt;40,0.25)</f>
        <v>1</v>
      </c>
      <c r="M20">
        <f>IF(cleaned_data!U20="Yes",1,0)</f>
        <v>0</v>
      </c>
      <c r="N20" cm="1">
        <f t="array" ref="N20">_xlfn.IFS(cleaned_data!V20="Unknown","",cleaned_data!V20="Yes",1,TRUE,0)</f>
        <v>0</v>
      </c>
      <c r="O20" cm="1">
        <f t="array" ref="O20">_xlfn.IFS(cleaned_data!S20&gt;=4,1,cleaned_data!S20=3,0.75,cleaned_data!S20=2,0.5,cleaned_data!S20=1,0.25,TRUE,0)</f>
        <v>0.25</v>
      </c>
      <c r="P20" cm="1">
        <f t="array" ref="P20">_xlfn.IFS(cleaned_data!AB20&gt;=50,1,cleaned_data!AB20&gt;=35,0.75,cleaned_data!AB20&gt;=20,0.5,TRUE,0.25)</f>
        <v>1</v>
      </c>
      <c r="Q20" cm="1">
        <f t="array" ref="Q20">_xlfn.IFS(cleaned_data!X20&gt;=5,1,cleaned_data!X20&gt;=3,0.75,cleaned_data!X20=2,0.5,cleaned_data!X20=1,0.25,TRUE,0)</f>
        <v>1</v>
      </c>
      <c r="R20">
        <f>IF(cleaned_data!Y20="Yes",1,0)</f>
        <v>1</v>
      </c>
      <c r="S20">
        <f>IF(OR(cleaned_data!AF20="GlobalG.A.P.",cleaned_data!AF20="Fairtrade",cleaned_data!AF20="Organic (CERES)"),1,
IF(OR(cleaned_data!AF20="SIZA",cleaned_data!AF20="Woolworths TNC",cleaned_data!AF20="Checkers Good Farming"),0.75,
IF(cleaned_data!AF20="No Certificate",0,
IF(cleaned_data!AF20="Unknown","",""))))</f>
        <v>0.75</v>
      </c>
      <c r="T20">
        <f>IF(cleaned_data!AG20="Yes",1,0)</f>
        <v>0</v>
      </c>
      <c r="U20">
        <f>IF(OR(cleaned_data!AD20="No Loan",cleaned_data!AD20="Settled",cleaned_data!AD20="Current"),1,
IF(cleaned_data!AD20="In Arrears",0.5,
IF(cleaned_data!AD20="Defaulted",0,
IF(cleaned_data!AD20="Unknown","",""))))</f>
        <v>1</v>
      </c>
      <c r="V20" cm="1">
        <f t="array" ref="V20">_xlfn.IFS(cleaned_data!AE20&lt;=0.2,1,
cleaned_data!AE20&lt;=0.5,0.75,
cleaned_data!AE20&lt;=1,0.5,
cleaned_data!AE20&gt;1,0.25)</f>
        <v>1</v>
      </c>
      <c r="W20">
        <f>IF(cleaned_data!AJ20="Yes",1,0)</f>
        <v>1</v>
      </c>
      <c r="X20" s="2" cm="1">
        <f t="array" ref="X20">_xlfn.IFS(cleaned_data!AM20="Yes", 1,
cleaned_data!AM20="No", 0,
cleaned_data!AM20="Unknown", "")</f>
        <v>1</v>
      </c>
      <c r="Y20" cm="1">
        <f t="array" ref="Y20">_xlfn.IFS(cleaned_data!AK20="Solar", 1,
cleaned_data!AK20="Generator", 0.75,
cleaned_data!AK20="Eskom grid", 0.5,
TRUE, "")</f>
        <v>1</v>
      </c>
      <c r="Z20" cm="1">
        <f t="array" ref="Z20">_xlfn.IFS(cleaned_data!AL20="", "",
cleaned_data!AL20&lt;=8, 1,
cleaned_data!AL20&lt;=14, 0.75,
cleaned_data!AL20&lt;=21, 0.5,
cleaned_data!AL20&gt;=22, 0.25)</f>
        <v>1</v>
      </c>
      <c r="AA20" cm="1">
        <f t="array" ref="AA20">_xlfn.IFS(cleaned_data!AH20=0, 1,
cleaned_data!AH20=1, 0.75,
cleaned_data!AH20=2, 0.5,
cleaned_data!AH20&gt;=3, 0.25)</f>
        <v>1</v>
      </c>
      <c r="AB20" cm="1">
        <f t="array" ref="AB20">_xlfn.IFS(cleaned_data!AO20="", "",
cleaned_data!AO20&gt;=50, 1,
cleaned_data!AO20&gt;=30, 0.75,
cleaned_data!AO20&gt;=10, 0.5,
cleaned_data!AO20&lt;10, 0.25)</f>
        <v>1</v>
      </c>
      <c r="AC20" cm="1">
        <f t="array" ref="AC20">_xlfn.IFS(cleaned_data!AP20&gt;=50,1, cleaned_data!AP20&gt;=30,0.75, cleaned_data!AP20&gt;=10,0.5, cleaned_data!AP20&lt;10,0.25)</f>
        <v>0.75</v>
      </c>
      <c r="AD20" cm="1">
        <f t="array" ref="AD20">_xlfn.IFS(cleaned_data!AQ20&gt;=30,1,
cleaned_data!AQ20&gt;=20,0.75,
cleaned_data!AQ20&gt;=10,0.5,
cleaned_data!AQ20&lt;10,0.25)</f>
        <v>1</v>
      </c>
      <c r="AE20" cm="1">
        <f t="array" ref="AE20">_xlfn.IFS(cleaned_data!AR20&gt;=75,1,
cleaned_data!AR20&gt;=50,0.75,
cleaned_data!AR20&gt;=25,0.5,
cleaned_data!AR20&lt;25,0.25)</f>
        <v>0.75</v>
      </c>
      <c r="AF20">
        <f>IF(cleaned_data!AS20="Yes",1,0)</f>
        <v>0</v>
      </c>
    </row>
    <row r="21" spans="1:32" hidden="1" x14ac:dyDescent="0.35">
      <c r="A21" t="s">
        <v>348</v>
      </c>
      <c r="B21" t="s">
        <v>347</v>
      </c>
      <c r="C21">
        <f>IF(cleaned_data!K21="Registered",1,0)</f>
        <v>1</v>
      </c>
      <c r="D21">
        <f>IF(cleaned_data!L21="Yes",1,0)</f>
        <v>0</v>
      </c>
      <c r="E21">
        <f>IF(cleaned_data!M21="Yes",1,0)</f>
        <v>1</v>
      </c>
      <c r="F21">
        <f>IF(cleaned_data!O21="Unknown","",IF(cleaned_data!O21="Yes",1,0))</f>
        <v>1</v>
      </c>
      <c r="G21" cm="1">
        <f t="array" ref="G21">_xlfn.IFS(cleaned_data!N21="Owned",1,cleaned_data!N21="Leased",0.75,cleaned_data!N21="State land",0.5,cleaned_data!N21="Communal",0.25)</f>
        <v>1</v>
      </c>
      <c r="H21" s="2" cm="1">
        <f t="array" ref="H21">_xlfn.IFS(cleaned_data!G21&gt;=10,1,cleaned_data!G21&gt;=5,0.75,cleaned_data!G21&gt;=2,0.5,TRUE,0.25)</f>
        <v>1</v>
      </c>
      <c r="I21">
        <f>IF(cleaned_data!P21="None",0,1)</f>
        <v>1</v>
      </c>
      <c r="J21" s="2" cm="1">
        <f t="array" ref="J21">_xlfn.IFS(cleaned_data!H21&gt;=20,1,cleaned_data!H21&gt;=10,0.75,cleaned_data!H21&gt;=5,0.5,cleaned_data!H21&gt;=1,0.25,TRUE,0)</f>
        <v>1</v>
      </c>
      <c r="K21" cm="1">
        <f t="array" ref="K21">_xlfn.IFS(cleaned_data!Q21&gt;=100000,1,cleaned_data!Q21&gt;=50000,0.75,cleaned_data!Q21&gt;=10000,0.5,TRUE,0.25)</f>
        <v>1</v>
      </c>
      <c r="L21" cm="1">
        <f t="array" ref="L21">_xlfn.IFS(cleaned_data!T21="","",cleaned_data!T21&lt;=10,1,cleaned_data!T21&lt;=25,0.75,cleaned_data!T21&lt;=40,0.5, cleaned_data!T21&gt;40,0.25)</f>
        <v>0.75</v>
      </c>
      <c r="M21">
        <f>IF(cleaned_data!U21="Yes",1,0)</f>
        <v>1</v>
      </c>
      <c r="N21" cm="1">
        <f t="array" ref="N21">_xlfn.IFS(cleaned_data!V21="Unknown","",cleaned_data!V21="Yes",1,TRUE,0)</f>
        <v>1</v>
      </c>
      <c r="O21" cm="1">
        <f t="array" ref="O21">_xlfn.IFS(cleaned_data!S21&gt;=4,1,cleaned_data!S21=3,0.75,cleaned_data!S21=2,0.5,cleaned_data!S21=1,0.25,TRUE,0)</f>
        <v>1</v>
      </c>
      <c r="P21" cm="1">
        <f t="array" ref="P21">_xlfn.IFS(cleaned_data!AB21&gt;=50,1,cleaned_data!AB21&gt;=35,0.75,cleaned_data!AB21&gt;=20,0.5,TRUE,0.25)</f>
        <v>0.75</v>
      </c>
      <c r="Q21" cm="1">
        <f t="array" ref="Q21">_xlfn.IFS(cleaned_data!X21&gt;=5,1,cleaned_data!X21&gt;=3,0.75,cleaned_data!X21=2,0.5,cleaned_data!X21=1,0.25,TRUE,0)</f>
        <v>1</v>
      </c>
      <c r="R21">
        <f>IF(cleaned_data!Y21="Yes",1,0)</f>
        <v>1</v>
      </c>
      <c r="S21">
        <f>IF(OR(cleaned_data!AF21="GlobalG.A.P.",cleaned_data!AF21="Fairtrade",cleaned_data!AF21="Organic (CERES)"),1,
IF(OR(cleaned_data!AF21="SIZA",cleaned_data!AF21="Woolworths TNC",cleaned_data!AF21="Checkers Good Farming"),0.75,
IF(cleaned_data!AF21="No Certificate",0,
IF(cleaned_data!AF21="Unknown","",""))))</f>
        <v>1</v>
      </c>
      <c r="T21">
        <f>IF(cleaned_data!AG21="Yes",1,0)</f>
        <v>0</v>
      </c>
      <c r="U21">
        <f>IF(OR(cleaned_data!AD21="No Loan",cleaned_data!AD21="Settled",cleaned_data!AD21="Current"),1,
IF(cleaned_data!AD21="In Arrears",0.5,
IF(cleaned_data!AD21="Defaulted",0,
IF(cleaned_data!AD21="Unknown","",""))))</f>
        <v>1</v>
      </c>
      <c r="V21" cm="1">
        <f t="array" ref="V21">_xlfn.IFS(cleaned_data!AE21&lt;=0.2,1,
cleaned_data!AE21&lt;=0.5,0.75,
cleaned_data!AE21&lt;=1,0.5,
cleaned_data!AE21&gt;1,0.25)</f>
        <v>1</v>
      </c>
      <c r="W21">
        <f>IF(cleaned_data!AJ21="Yes",1,0)</f>
        <v>1</v>
      </c>
      <c r="X21" s="2" cm="1">
        <f t="array" ref="X21">_xlfn.IFS(cleaned_data!AM21="Yes", 1,
cleaned_data!AM21="No", 0,
cleaned_data!AM21="Unknown", "")</f>
        <v>1</v>
      </c>
      <c r="Y21" cm="1">
        <f t="array" ref="Y21">_xlfn.IFS(cleaned_data!AK21="Solar", 1,
cleaned_data!AK21="Generator", 0.75,
cleaned_data!AK21="Eskom grid", 0.5,
TRUE, "")</f>
        <v>0.5</v>
      </c>
      <c r="Z21" cm="1">
        <f t="array" ref="Z21">_xlfn.IFS(cleaned_data!AL21="", "",
cleaned_data!AL21&lt;=8, 1,
cleaned_data!AL21&lt;=14, 0.75,
cleaned_data!AL21&lt;=21, 0.5,
cleaned_data!AL21&gt;=22, 0.25)</f>
        <v>0.75</v>
      </c>
      <c r="AA21" cm="1">
        <f t="array" ref="AA21">_xlfn.IFS(cleaned_data!AH21=0, 1,
cleaned_data!AH21=1, 0.75,
cleaned_data!AH21=2, 0.5,
cleaned_data!AH21&gt;=3, 0.25)</f>
        <v>0.25</v>
      </c>
      <c r="AB21" cm="1">
        <f t="array" ref="AB21">_xlfn.IFS(cleaned_data!AO21="", "",
cleaned_data!AO21&gt;=50, 1,
cleaned_data!AO21&gt;=30, 0.75,
cleaned_data!AO21&gt;=10, 0.5,
cleaned_data!AO21&lt;10, 0.25)</f>
        <v>0.5</v>
      </c>
      <c r="AC21" cm="1">
        <f t="array" ref="AC21">_xlfn.IFS(cleaned_data!AP21&gt;=50,1, cleaned_data!AP21&gt;=30,0.75, cleaned_data!AP21&gt;=10,0.5, cleaned_data!AP21&lt;10,0.25)</f>
        <v>1</v>
      </c>
      <c r="AD21" cm="1">
        <f t="array" ref="AD21">_xlfn.IFS(cleaned_data!AQ21&gt;=30,1,
cleaned_data!AQ21&gt;=20,0.75,
cleaned_data!AQ21&gt;=10,0.5,
cleaned_data!AQ21&lt;10,0.25)</f>
        <v>0.5</v>
      </c>
      <c r="AE21" cm="1">
        <f t="array" ref="AE21">_xlfn.IFS(cleaned_data!AR21&gt;=75,1,
cleaned_data!AR21&gt;=50,0.75,
cleaned_data!AR21&gt;=25,0.5,
cleaned_data!AR21&lt;25,0.25)</f>
        <v>1</v>
      </c>
      <c r="AF21">
        <f>IF(cleaned_data!AS21="Yes",1,0)</f>
        <v>0</v>
      </c>
    </row>
    <row r="22" spans="1:32" x14ac:dyDescent="0.35">
      <c r="A22" t="s">
        <v>346</v>
      </c>
      <c r="B22" t="s">
        <v>307</v>
      </c>
      <c r="C22">
        <f>IF(cleaned_data!K22="Registered",1,0)</f>
        <v>1</v>
      </c>
      <c r="D22">
        <f>IF(cleaned_data!L22="Yes",1,0)</f>
        <v>1</v>
      </c>
      <c r="E22">
        <f>IF(cleaned_data!M22="Yes",1,0)</f>
        <v>0</v>
      </c>
      <c r="F22">
        <f>IF(cleaned_data!O22="Unknown","",IF(cleaned_data!O22="Yes",1,0))</f>
        <v>1</v>
      </c>
      <c r="G22" cm="1">
        <f t="array" ref="G22">_xlfn.IFS(cleaned_data!N22="Owned",1,cleaned_data!N22="Leased",0.75,cleaned_data!N22="State land",0.5,cleaned_data!N22="Communal",0.25)</f>
        <v>0.75</v>
      </c>
      <c r="H22" s="2" cm="1">
        <f t="array" ref="H22">_xlfn.IFS(cleaned_data!G22&gt;=10,1,cleaned_data!G22&gt;=5,0.75,cleaned_data!G22&gt;=2,0.5,TRUE,0.25)</f>
        <v>1</v>
      </c>
      <c r="I22">
        <f>IF(cleaned_data!P22="None",0,1)</f>
        <v>1</v>
      </c>
      <c r="J22" s="2" cm="1">
        <f t="array" ref="J22">_xlfn.IFS(cleaned_data!H22&gt;=20,1,cleaned_data!H22&gt;=10,0.75,cleaned_data!H22&gt;=5,0.5,cleaned_data!H22&gt;=1,0.25,TRUE,0)</f>
        <v>1</v>
      </c>
      <c r="K22" cm="1">
        <f t="array" ref="K22">_xlfn.IFS(cleaned_data!Q22&gt;=100000,1,cleaned_data!Q22&gt;=50000,0.75,cleaned_data!Q22&gt;=10000,0.5,TRUE,0.25)</f>
        <v>1</v>
      </c>
      <c r="L22" cm="1">
        <f t="array" ref="L22">_xlfn.IFS(cleaned_data!T22="","",cleaned_data!T22&lt;=10,1,cleaned_data!T22&lt;=25,0.75,cleaned_data!T22&lt;=40,0.5, cleaned_data!T22&gt;40,0.25)</f>
        <v>0.75</v>
      </c>
      <c r="M22">
        <f>IF(cleaned_data!U22="Yes",1,0)</f>
        <v>1</v>
      </c>
      <c r="N22" cm="1">
        <f t="array" ref="N22">_xlfn.IFS(cleaned_data!V22="Unknown","",cleaned_data!V22="Yes",1,TRUE,0)</f>
        <v>1</v>
      </c>
      <c r="O22" cm="1">
        <f t="array" ref="O22">_xlfn.IFS(cleaned_data!S22&gt;=4,1,cleaned_data!S22=3,0.75,cleaned_data!S22=2,0.5,cleaned_data!S22=1,0.25,TRUE,0)</f>
        <v>1</v>
      </c>
      <c r="P22" cm="1">
        <f t="array" ref="P22">_xlfn.IFS(cleaned_data!AB22&gt;=50,1,cleaned_data!AB22&gt;=35,0.75,cleaned_data!AB22&gt;=20,0.5,TRUE,0.25)</f>
        <v>0.75</v>
      </c>
      <c r="Q22" cm="1">
        <f t="array" ref="Q22">_xlfn.IFS(cleaned_data!X22&gt;=5,1,cleaned_data!X22&gt;=3,0.75,cleaned_data!X22=2,0.5,cleaned_data!X22=1,0.25,TRUE,0)</f>
        <v>1</v>
      </c>
      <c r="R22">
        <f>IF(cleaned_data!Y22="Yes",1,0)</f>
        <v>1</v>
      </c>
      <c r="S22">
        <f>IF(OR(cleaned_data!AF22="GlobalG.A.P.",cleaned_data!AF22="Fairtrade",cleaned_data!AF22="Organic (CERES)"),1,
IF(OR(cleaned_data!AF22="SIZA",cleaned_data!AF22="Woolworths TNC",cleaned_data!AF22="Checkers Good Farming"),0.75,
IF(cleaned_data!AF22="No Certificate",0,
IF(cleaned_data!AF22="Unknown","",""))))</f>
        <v>0.75</v>
      </c>
      <c r="T22">
        <f>IF(cleaned_data!AG22="Yes",1,0)</f>
        <v>1</v>
      </c>
      <c r="U22">
        <f>IF(OR(cleaned_data!AD22="No Loan",cleaned_data!AD22="Settled",cleaned_data!AD22="Current"),1,
IF(cleaned_data!AD22="In Arrears",0.5,
IF(cleaned_data!AD22="Defaulted",0,
IF(cleaned_data!AD22="Unknown","",""))))</f>
        <v>1</v>
      </c>
      <c r="V22" cm="1">
        <f t="array" ref="V22">_xlfn.IFS(cleaned_data!AE22&lt;=0.2,1,
cleaned_data!AE22&lt;=0.5,0.75,
cleaned_data!AE22&lt;=1,0.5,
cleaned_data!AE22&gt;1,0.25)</f>
        <v>1</v>
      </c>
      <c r="W22">
        <f>IF(cleaned_data!AJ22="Yes",1,0)</f>
        <v>1</v>
      </c>
      <c r="X22" s="2" cm="1">
        <f t="array" ref="X22">_xlfn.IFS(cleaned_data!AM22="Yes", 1,
cleaned_data!AM22="No", 0,
cleaned_data!AM22="Unknown", "")</f>
        <v>1</v>
      </c>
      <c r="Y22" cm="1">
        <f t="array" ref="Y22">_xlfn.IFS(cleaned_data!AK22="Solar", 1,
cleaned_data!AK22="Generator", 0.75,
cleaned_data!AK22="Eskom grid", 0.5,
TRUE, "")</f>
        <v>1</v>
      </c>
      <c r="Z22" cm="1">
        <f t="array" ref="Z22">_xlfn.IFS(cleaned_data!AL22="", "",
cleaned_data!AL22&lt;=8, 1,
cleaned_data!AL22&lt;=14, 0.75,
cleaned_data!AL22&lt;=21, 0.5,
cleaned_data!AL22&gt;=22, 0.25)</f>
        <v>1</v>
      </c>
      <c r="AA22" cm="1">
        <f t="array" ref="AA22">_xlfn.IFS(cleaned_data!AH22=0, 1,
cleaned_data!AH22=1, 0.75,
cleaned_data!AH22=2, 0.5,
cleaned_data!AH22&gt;=3, 0.25)</f>
        <v>0.25</v>
      </c>
      <c r="AB22" cm="1">
        <f t="array" ref="AB22">_xlfn.IFS(cleaned_data!AO22="", "",
cleaned_data!AO22&gt;=50, 1,
cleaned_data!AO22&gt;=30, 0.75,
cleaned_data!AO22&gt;=10, 0.5,
cleaned_data!AO22&lt;10, 0.25)</f>
        <v>1</v>
      </c>
      <c r="AC22" cm="1">
        <f t="array" ref="AC22">_xlfn.IFS(cleaned_data!AP22&gt;=50,1, cleaned_data!AP22&gt;=30,0.75, cleaned_data!AP22&gt;=10,0.5, cleaned_data!AP22&lt;10,0.25)</f>
        <v>1</v>
      </c>
      <c r="AD22" cm="1">
        <f t="array" ref="AD22">_xlfn.IFS(cleaned_data!AQ22&gt;=30,1,
cleaned_data!AQ22&gt;=20,0.75,
cleaned_data!AQ22&gt;=10,0.5,
cleaned_data!AQ22&lt;10,0.25)</f>
        <v>1</v>
      </c>
      <c r="AE22" cm="1">
        <f t="array" ref="AE22">_xlfn.IFS(cleaned_data!AR22&gt;=75,1,
cleaned_data!AR22&gt;=50,0.75,
cleaned_data!AR22&gt;=25,0.5,
cleaned_data!AR22&lt;25,0.25)</f>
        <v>0.75</v>
      </c>
      <c r="AF22">
        <f>IF(cleaned_data!AS22="Yes",1,0)</f>
        <v>0</v>
      </c>
    </row>
    <row r="23" spans="1:32" x14ac:dyDescent="0.35">
      <c r="A23" t="s">
        <v>343</v>
      </c>
      <c r="B23" t="s">
        <v>342</v>
      </c>
      <c r="C23">
        <f>IF(cleaned_data!K23="Registered",1,0)</f>
        <v>0</v>
      </c>
      <c r="D23">
        <f>IF(cleaned_data!L23="Yes",1,0)</f>
        <v>1</v>
      </c>
      <c r="E23">
        <f>IF(cleaned_data!M23="Yes",1,0)</f>
        <v>1</v>
      </c>
      <c r="F23">
        <f>IF(cleaned_data!O23="Unknown","",IF(cleaned_data!O23="Yes",1,0))</f>
        <v>1</v>
      </c>
      <c r="G23" cm="1">
        <f t="array" ref="G23">_xlfn.IFS(cleaned_data!N23="Owned",1,cleaned_data!N23="Leased",0.75,cleaned_data!N23="State land",0.5,cleaned_data!N23="Communal",0.25)</f>
        <v>1</v>
      </c>
      <c r="H23" s="2" cm="1">
        <f t="array" ref="H23">_xlfn.IFS(cleaned_data!G23&gt;=10,1,cleaned_data!G23&gt;=5,0.75,cleaned_data!G23&gt;=2,0.5,TRUE,0.25)</f>
        <v>0.75</v>
      </c>
      <c r="I23">
        <f>IF(cleaned_data!P23="None",0,1)</f>
        <v>1</v>
      </c>
      <c r="J23" s="2" cm="1">
        <f t="array" ref="J23">_xlfn.IFS(cleaned_data!H23&gt;=20,1,cleaned_data!H23&gt;=10,0.75,cleaned_data!H23&gt;=5,0.5,cleaned_data!H23&gt;=1,0.25,TRUE,0)</f>
        <v>1</v>
      </c>
      <c r="K23" cm="1">
        <f t="array" ref="K23">_xlfn.IFS(cleaned_data!Q23&gt;=100000,1,cleaned_data!Q23&gt;=50000,0.75,cleaned_data!Q23&gt;=10000,0.5,TRUE,0.25)</f>
        <v>1</v>
      </c>
      <c r="L23" cm="1">
        <f t="array" ref="L23">_xlfn.IFS(cleaned_data!T23="","",cleaned_data!T23&lt;=10,1,cleaned_data!T23&lt;=25,0.75,cleaned_data!T23&lt;=40,0.5, cleaned_data!T23&gt;40,0.25)</f>
        <v>1</v>
      </c>
      <c r="M23">
        <f>IF(cleaned_data!U23="Yes",1,0)</f>
        <v>1</v>
      </c>
      <c r="N23" cm="1">
        <f t="array" ref="N23">_xlfn.IFS(cleaned_data!V23="Unknown","",cleaned_data!V23="Yes",1,TRUE,0)</f>
        <v>0</v>
      </c>
      <c r="O23" cm="1">
        <f t="array" ref="O23">_xlfn.IFS(cleaned_data!S23&gt;=4,1,cleaned_data!S23=3,0.75,cleaned_data!S23=2,0.5,cleaned_data!S23=1,0.25,TRUE,0)</f>
        <v>1</v>
      </c>
      <c r="P23" cm="1">
        <f t="array" ref="P23">_xlfn.IFS(cleaned_data!AB23&gt;=50,1,cleaned_data!AB23&gt;=35,0.75,cleaned_data!AB23&gt;=20,0.5,TRUE,0.25)</f>
        <v>1</v>
      </c>
      <c r="Q23" cm="1">
        <f t="array" ref="Q23">_xlfn.IFS(cleaned_data!X23&gt;=5,1,cleaned_data!X23&gt;=3,0.75,cleaned_data!X23=2,0.5,cleaned_data!X23=1,0.25,TRUE,0)</f>
        <v>0.75</v>
      </c>
      <c r="R23">
        <f>IF(cleaned_data!Y23="Yes",1,0)</f>
        <v>1</v>
      </c>
      <c r="S23">
        <f>IF(OR(cleaned_data!AF23="GlobalG.A.P.",cleaned_data!AF23="Fairtrade",cleaned_data!AF23="Organic (CERES)"),1,
IF(OR(cleaned_data!AF23="SIZA",cleaned_data!AF23="Woolworths TNC",cleaned_data!AF23="Checkers Good Farming"),0.75,
IF(cleaned_data!AF23="No Certificate",0,
IF(cleaned_data!AF23="Unknown","",""))))</f>
        <v>0.75</v>
      </c>
      <c r="T23">
        <f>IF(cleaned_data!AG23="Yes",1,0)</f>
        <v>0</v>
      </c>
      <c r="U23">
        <f>IF(OR(cleaned_data!AD23="No Loan",cleaned_data!AD23="Settled",cleaned_data!AD23="Current"),1,
IF(cleaned_data!AD23="In Arrears",0.5,
IF(cleaned_data!AD23="Defaulted",0,
IF(cleaned_data!AD23="Unknown","",""))))</f>
        <v>1</v>
      </c>
      <c r="V23" cm="1">
        <f t="array" ref="V23">_xlfn.IFS(cleaned_data!AE23&lt;=0.2,1,
cleaned_data!AE23&lt;=0.5,0.75,
cleaned_data!AE23&lt;=1,0.5,
cleaned_data!AE23&gt;1,0.25)</f>
        <v>1</v>
      </c>
      <c r="W23">
        <f>IF(cleaned_data!AJ23="Yes",1,0)</f>
        <v>1</v>
      </c>
      <c r="X23" s="2" cm="1">
        <f t="array" ref="X23">_xlfn.IFS(cleaned_data!AM23="Yes", 1,
cleaned_data!AM23="No", 0,
cleaned_data!AM23="Unknown", "")</f>
        <v>0</v>
      </c>
      <c r="Y23" cm="1">
        <f t="array" ref="Y23">_xlfn.IFS(cleaned_data!AK23="Solar", 1,
cleaned_data!AK23="Generator", 0.75,
cleaned_data!AK23="Eskom grid", 0.5,
TRUE, "")</f>
        <v>1</v>
      </c>
      <c r="Z23" cm="1">
        <f t="array" ref="Z23">_xlfn.IFS(cleaned_data!AL23="", "",
cleaned_data!AL23&lt;=8, 1,
cleaned_data!AL23&lt;=14, 0.75,
cleaned_data!AL23&lt;=21, 0.5,
cleaned_data!AL23&gt;=22, 0.25)</f>
        <v>1</v>
      </c>
      <c r="AA23" cm="1">
        <f t="array" ref="AA23">_xlfn.IFS(cleaned_data!AH23=0, 1,
cleaned_data!AH23=1, 0.75,
cleaned_data!AH23=2, 0.5,
cleaned_data!AH23&gt;=3, 0.25)</f>
        <v>0.25</v>
      </c>
      <c r="AB23" cm="1">
        <f t="array" ref="AB23">_xlfn.IFS(cleaned_data!AO23="", "",
cleaned_data!AO23&gt;=50, 1,
cleaned_data!AO23&gt;=30, 0.75,
cleaned_data!AO23&gt;=10, 0.5,
cleaned_data!AO23&lt;10, 0.25)</f>
        <v>1</v>
      </c>
      <c r="AC23" cm="1">
        <f t="array" ref="AC23">_xlfn.IFS(cleaned_data!AP23&gt;=50,1, cleaned_data!AP23&gt;=30,0.75, cleaned_data!AP23&gt;=10,0.5, cleaned_data!AP23&lt;10,0.25)</f>
        <v>0.5</v>
      </c>
      <c r="AD23" cm="1">
        <f t="array" ref="AD23">_xlfn.IFS(cleaned_data!AQ23&gt;=30,1,
cleaned_data!AQ23&gt;=20,0.75,
cleaned_data!AQ23&gt;=10,0.5,
cleaned_data!AQ23&lt;10,0.25)</f>
        <v>0.25</v>
      </c>
      <c r="AE23" cm="1">
        <f t="array" ref="AE23">_xlfn.IFS(cleaned_data!AR23&gt;=75,1,
cleaned_data!AR23&gt;=50,0.75,
cleaned_data!AR23&gt;=25,0.5,
cleaned_data!AR23&lt;25,0.25)</f>
        <v>1</v>
      </c>
      <c r="AF23">
        <f>IF(cleaned_data!AS23="Yes",1,0)</f>
        <v>0</v>
      </c>
    </row>
    <row r="24" spans="1:32" x14ac:dyDescent="0.35">
      <c r="A24" t="s">
        <v>340</v>
      </c>
      <c r="B24" t="s">
        <v>339</v>
      </c>
      <c r="C24">
        <f>IF(cleaned_data!K24="Registered",1,0)</f>
        <v>1</v>
      </c>
      <c r="D24">
        <f>IF(cleaned_data!L24="Yes",1,0)</f>
        <v>1</v>
      </c>
      <c r="E24">
        <f>IF(cleaned_data!M24="Yes",1,0)</f>
        <v>1</v>
      </c>
      <c r="F24">
        <f>IF(cleaned_data!O24="Unknown","",IF(cleaned_data!O24="Yes",1,0))</f>
        <v>1</v>
      </c>
      <c r="G24" cm="1">
        <f t="array" ref="G24">_xlfn.IFS(cleaned_data!N24="Owned",1,cleaned_data!N24="Leased",0.75,cleaned_data!N24="State land",0.5,cleaned_data!N24="Communal",0.25)</f>
        <v>1</v>
      </c>
      <c r="H24" s="2" cm="1">
        <f t="array" ref="H24">_xlfn.IFS(cleaned_data!G24&gt;=10,1,cleaned_data!G24&gt;=5,0.75,cleaned_data!G24&gt;=2,0.5,TRUE,0.25)</f>
        <v>1</v>
      </c>
      <c r="I24">
        <f>IF(cleaned_data!P24="None",0,1)</f>
        <v>1</v>
      </c>
      <c r="J24" s="2" cm="1">
        <f t="array" ref="J24">_xlfn.IFS(cleaned_data!H24&gt;=20,1,cleaned_data!H24&gt;=10,0.75,cleaned_data!H24&gt;=5,0.5,cleaned_data!H24&gt;=1,0.25,TRUE,0)</f>
        <v>1</v>
      </c>
      <c r="K24" cm="1">
        <f t="array" ref="K24">_xlfn.IFS(cleaned_data!Q24&gt;=100000,1,cleaned_data!Q24&gt;=50000,0.75,cleaned_data!Q24&gt;=10000,0.5,TRUE,0.25)</f>
        <v>1</v>
      </c>
      <c r="L24" cm="1">
        <f t="array" ref="L24">_xlfn.IFS(cleaned_data!T24="","",cleaned_data!T24&lt;=10,1,cleaned_data!T24&lt;=25,0.75,cleaned_data!T24&lt;=40,0.5, cleaned_data!T24&gt;40,0.25)</f>
        <v>0.75</v>
      </c>
      <c r="M24">
        <f>IF(cleaned_data!U24="Yes",1,0)</f>
        <v>1</v>
      </c>
      <c r="N24" cm="1">
        <f t="array" ref="N24">_xlfn.IFS(cleaned_data!V24="Unknown","",cleaned_data!V24="Yes",1,TRUE,0)</f>
        <v>1</v>
      </c>
      <c r="O24" cm="1">
        <f t="array" ref="O24">_xlfn.IFS(cleaned_data!S24&gt;=4,1,cleaned_data!S24=3,0.75,cleaned_data!S24=2,0.5,cleaned_data!S24=1,0.25,TRUE,0)</f>
        <v>1</v>
      </c>
      <c r="P24" cm="1">
        <f t="array" ref="P24">_xlfn.IFS(cleaned_data!AB24&gt;=50,1,cleaned_data!AB24&gt;=35,0.75,cleaned_data!AB24&gt;=20,0.5,TRUE,0.25)</f>
        <v>0.75</v>
      </c>
      <c r="Q24" cm="1">
        <f t="array" ref="Q24">_xlfn.IFS(cleaned_data!X24&gt;=5,1,cleaned_data!X24&gt;=3,0.75,cleaned_data!X24=2,0.5,cleaned_data!X24=1,0.25,TRUE,0)</f>
        <v>1</v>
      </c>
      <c r="R24">
        <f>IF(cleaned_data!Y24="Yes",1,0)</f>
        <v>1</v>
      </c>
      <c r="S24" t="str">
        <f>IF(OR(cleaned_data!AF24="GlobalG.A.P.",cleaned_data!AF24="Fairtrade",cleaned_data!AF24="Organic (CERES)"),1,
IF(OR(cleaned_data!AF24="SIZA",cleaned_data!AF24="Woolworths TNC",cleaned_data!AF24="Checkers Good Farming"),0.75,
IF(cleaned_data!AF24="No Certificate",0,
IF(cleaned_data!AF24="Unknown","",""))))</f>
        <v/>
      </c>
      <c r="T24">
        <f>IF(cleaned_data!AG24="Yes",1,0)</f>
        <v>0</v>
      </c>
      <c r="U24">
        <f>IF(OR(cleaned_data!AD24="No Loan",cleaned_data!AD24="Settled",cleaned_data!AD24="Current"),1,
IF(cleaned_data!AD24="In Arrears",0.5,
IF(cleaned_data!AD24="Defaulted",0,
IF(cleaned_data!AD24="Unknown","",""))))</f>
        <v>1</v>
      </c>
      <c r="V24" cm="1">
        <f t="array" ref="V24">_xlfn.IFS(cleaned_data!AE24&lt;=0.2,1,
cleaned_data!AE24&lt;=0.5,0.75,
cleaned_data!AE24&lt;=1,0.5,
cleaned_data!AE24&gt;1,0.25)</f>
        <v>1</v>
      </c>
      <c r="W24">
        <f>IF(cleaned_data!AJ24="Yes",1,0)</f>
        <v>0</v>
      </c>
      <c r="X24" s="2" t="str" cm="1">
        <f t="array" ref="X24">_xlfn.IFS(cleaned_data!AM24="Yes", 1,
cleaned_data!AM24="No", 0,
cleaned_data!AM24="Unknown", "")</f>
        <v/>
      </c>
      <c r="Y24" cm="1">
        <f t="array" ref="Y24">_xlfn.IFS(cleaned_data!AK24="Solar", 1,
cleaned_data!AK24="Generator", 0.75,
cleaned_data!AK24="Eskom grid", 0.5,
TRUE, "")</f>
        <v>0.5</v>
      </c>
      <c r="Z24" cm="1">
        <f t="array" ref="Z24">_xlfn.IFS(cleaned_data!AL24="", "",
cleaned_data!AL24&lt;=8, 1,
cleaned_data!AL24&lt;=14, 0.75,
cleaned_data!AL24&lt;=21, 0.5,
cleaned_data!AL24&gt;=22, 0.25)</f>
        <v>0.5</v>
      </c>
      <c r="AA24" cm="1">
        <f t="array" ref="AA24">_xlfn.IFS(cleaned_data!AH24=0, 1,
cleaned_data!AH24=1, 0.75,
cleaned_data!AH24=2, 0.5,
cleaned_data!AH24&gt;=3, 0.25)</f>
        <v>0.5</v>
      </c>
      <c r="AB24" cm="1">
        <f t="array" ref="AB24">_xlfn.IFS(cleaned_data!AO24="", "",
cleaned_data!AO24&gt;=50, 1,
cleaned_data!AO24&gt;=30, 0.75,
cleaned_data!AO24&gt;=10, 0.5,
cleaned_data!AO24&lt;10, 0.25)</f>
        <v>1</v>
      </c>
      <c r="AC24" cm="1">
        <f t="array" ref="AC24">_xlfn.IFS(cleaned_data!AP24&gt;=50,1, cleaned_data!AP24&gt;=30,0.75, cleaned_data!AP24&gt;=10,0.5, cleaned_data!AP24&lt;10,0.25)</f>
        <v>0.75</v>
      </c>
      <c r="AD24" cm="1">
        <f t="array" ref="AD24">_xlfn.IFS(cleaned_data!AQ24&gt;=30,1,
cleaned_data!AQ24&gt;=20,0.75,
cleaned_data!AQ24&gt;=10,0.5,
cleaned_data!AQ24&lt;10,0.25)</f>
        <v>0.5</v>
      </c>
      <c r="AE24" cm="1">
        <f t="array" ref="AE24">_xlfn.IFS(cleaned_data!AR24&gt;=75,1,
cleaned_data!AR24&gt;=50,0.75,
cleaned_data!AR24&gt;=25,0.5,
cleaned_data!AR24&lt;25,0.25)</f>
        <v>1</v>
      </c>
      <c r="AF24">
        <f>IF(cleaned_data!AS24="Yes",1,0)</f>
        <v>1</v>
      </c>
    </row>
    <row r="25" spans="1:32" hidden="1" x14ac:dyDescent="0.35">
      <c r="A25" t="s">
        <v>336</v>
      </c>
      <c r="B25" t="s">
        <v>335</v>
      </c>
      <c r="C25">
        <f>IF(cleaned_data!K25="Registered",1,0)</f>
        <v>1</v>
      </c>
      <c r="D25">
        <f>IF(cleaned_data!L25="Yes",1,0)</f>
        <v>0</v>
      </c>
      <c r="E25">
        <f>IF(cleaned_data!M25="Yes",1,0)</f>
        <v>1</v>
      </c>
      <c r="F25">
        <f>IF(cleaned_data!O25="Unknown","",IF(cleaned_data!O25="Yes",1,0))</f>
        <v>1</v>
      </c>
      <c r="G25" cm="1">
        <f t="array" ref="G25">_xlfn.IFS(cleaned_data!N25="Owned",1,cleaned_data!N25="Leased",0.75,cleaned_data!N25="State land",0.5,cleaned_data!N25="Communal",0.25)</f>
        <v>1</v>
      </c>
      <c r="H25" s="2" cm="1">
        <f t="array" ref="H25">_xlfn.IFS(cleaned_data!G25&gt;=10,1,cleaned_data!G25&gt;=5,0.75,cleaned_data!G25&gt;=2,0.5,TRUE,0.25)</f>
        <v>0.75</v>
      </c>
      <c r="I25">
        <f>IF(cleaned_data!P25="None",0,1)</f>
        <v>0</v>
      </c>
      <c r="J25" s="2" cm="1">
        <f t="array" ref="J25">_xlfn.IFS(cleaned_data!H25&gt;=20,1,cleaned_data!H25&gt;=10,0.75,cleaned_data!H25&gt;=5,0.5,cleaned_data!H25&gt;=1,0.25,TRUE,0)</f>
        <v>0.75</v>
      </c>
      <c r="K25" cm="1">
        <f t="array" ref="K25">_xlfn.IFS(cleaned_data!Q25&gt;=100000,1,cleaned_data!Q25&gt;=50000,0.75,cleaned_data!Q25&gt;=10000,0.5,TRUE,0.25)</f>
        <v>1</v>
      </c>
      <c r="L25" cm="1">
        <f t="array" ref="L25">_xlfn.IFS(cleaned_data!T25="","",cleaned_data!T25&lt;=10,1,cleaned_data!T25&lt;=25,0.75,cleaned_data!T25&lt;=40,0.5, cleaned_data!T25&gt;40,0.25)</f>
        <v>0.75</v>
      </c>
      <c r="M25">
        <f>IF(cleaned_data!U25="Yes",1,0)</f>
        <v>1</v>
      </c>
      <c r="N25" cm="1">
        <f t="array" ref="N25">_xlfn.IFS(cleaned_data!V25="Unknown","",cleaned_data!V25="Yes",1,TRUE,0)</f>
        <v>0</v>
      </c>
      <c r="O25" cm="1">
        <f t="array" ref="O25">_xlfn.IFS(cleaned_data!S25&gt;=4,1,cleaned_data!S25=3,0.75,cleaned_data!S25=2,0.5,cleaned_data!S25=1,0.25,TRUE,0)</f>
        <v>0.75</v>
      </c>
      <c r="P25" cm="1">
        <f t="array" ref="P25">_xlfn.IFS(cleaned_data!AB25&gt;=50,1,cleaned_data!AB25&gt;=35,0.75,cleaned_data!AB25&gt;=20,0.5,TRUE,0.25)</f>
        <v>0.75</v>
      </c>
      <c r="Q25" cm="1">
        <f t="array" ref="Q25">_xlfn.IFS(cleaned_data!X25&gt;=5,1,cleaned_data!X25&gt;=3,0.75,cleaned_data!X25=2,0.5,cleaned_data!X25=1,0.25,TRUE,0)</f>
        <v>1</v>
      </c>
      <c r="R25">
        <f>IF(cleaned_data!Y25="Yes",1,0)</f>
        <v>1</v>
      </c>
      <c r="S25">
        <f>IF(OR(cleaned_data!AF25="GlobalG.A.P.",cleaned_data!AF25="Fairtrade",cleaned_data!AF25="Organic (CERES)"),1,
IF(OR(cleaned_data!AF25="SIZA",cleaned_data!AF25="Woolworths TNC",cleaned_data!AF25="Checkers Good Farming"),0.75,
IF(cleaned_data!AF25="No Certificate",0,
IF(cleaned_data!AF25="Unknown","",""))))</f>
        <v>1</v>
      </c>
      <c r="T25">
        <f>IF(cleaned_data!AG25="Yes",1,0)</f>
        <v>0</v>
      </c>
      <c r="U25">
        <f>IF(OR(cleaned_data!AD25="No Loan",cleaned_data!AD25="Settled",cleaned_data!AD25="Current"),1,
IF(cleaned_data!AD25="In Arrears",0.5,
IF(cleaned_data!AD25="Defaulted",0,
IF(cleaned_data!AD25="Unknown","",""))))</f>
        <v>1</v>
      </c>
      <c r="V25" cm="1">
        <f t="array" ref="V25">_xlfn.IFS(cleaned_data!AE25&lt;=0.2,1,
cleaned_data!AE25&lt;=0.5,0.75,
cleaned_data!AE25&lt;=1,0.5,
cleaned_data!AE25&gt;1,0.25)</f>
        <v>1</v>
      </c>
      <c r="W25">
        <f>IF(cleaned_data!AJ25="Yes",1,0)</f>
        <v>1</v>
      </c>
      <c r="X25" s="2" cm="1">
        <f t="array" ref="X25">_xlfn.IFS(cleaned_data!AM25="Yes", 1,
cleaned_data!AM25="No", 0,
cleaned_data!AM25="Unknown", "")</f>
        <v>1</v>
      </c>
      <c r="Y25" cm="1">
        <f t="array" ref="Y25">_xlfn.IFS(cleaned_data!AK25="Solar", 1,
cleaned_data!AK25="Generator", 0.75,
cleaned_data!AK25="Eskom grid", 0.5,
TRUE, "")</f>
        <v>1</v>
      </c>
      <c r="Z25" cm="1">
        <f t="array" ref="Z25">_xlfn.IFS(cleaned_data!AL25="", "",
cleaned_data!AL25&lt;=8, 1,
cleaned_data!AL25&lt;=14, 0.75,
cleaned_data!AL25&lt;=21, 0.5,
cleaned_data!AL25&gt;=22, 0.25)</f>
        <v>1</v>
      </c>
      <c r="AA25" cm="1">
        <f t="array" ref="AA25">_xlfn.IFS(cleaned_data!AH25=0, 1,
cleaned_data!AH25=1, 0.75,
cleaned_data!AH25=2, 0.5,
cleaned_data!AH25&gt;=3, 0.25)</f>
        <v>1</v>
      </c>
      <c r="AB25" cm="1">
        <f t="array" ref="AB25">_xlfn.IFS(cleaned_data!AO25="", "",
cleaned_data!AO25&gt;=50, 1,
cleaned_data!AO25&gt;=30, 0.75,
cleaned_data!AO25&gt;=10, 0.5,
cleaned_data!AO25&lt;10, 0.25)</f>
        <v>0.25</v>
      </c>
      <c r="AC25" cm="1">
        <f t="array" ref="AC25">_xlfn.IFS(cleaned_data!AP25&gt;=50,1, cleaned_data!AP25&gt;=30,0.75, cleaned_data!AP25&gt;=10,0.5, cleaned_data!AP25&lt;10,0.25)</f>
        <v>0.75</v>
      </c>
      <c r="AD25" cm="1">
        <f t="array" ref="AD25">_xlfn.IFS(cleaned_data!AQ25&gt;=30,1,
cleaned_data!AQ25&gt;=20,0.75,
cleaned_data!AQ25&gt;=10,0.5,
cleaned_data!AQ25&lt;10,0.25)</f>
        <v>1</v>
      </c>
      <c r="AE25" cm="1">
        <f t="array" ref="AE25">_xlfn.IFS(cleaned_data!AR25&gt;=75,1,
cleaned_data!AR25&gt;=50,0.75,
cleaned_data!AR25&gt;=25,0.5,
cleaned_data!AR25&lt;25,0.25)</f>
        <v>0.75</v>
      </c>
      <c r="AF25">
        <f>IF(cleaned_data!AS25="Yes",1,0)</f>
        <v>1</v>
      </c>
    </row>
    <row r="26" spans="1:32" hidden="1" x14ac:dyDescent="0.35">
      <c r="A26" t="s">
        <v>333</v>
      </c>
      <c r="B26" t="s">
        <v>332</v>
      </c>
      <c r="C26">
        <f>IF(cleaned_data!K26="Registered",1,0)</f>
        <v>1</v>
      </c>
      <c r="D26">
        <f>IF(cleaned_data!L26="Yes",1,0)</f>
        <v>1</v>
      </c>
      <c r="E26">
        <f>IF(cleaned_data!M26="Yes",1,0)</f>
        <v>0</v>
      </c>
      <c r="F26">
        <f>IF(cleaned_data!O26="Unknown","",IF(cleaned_data!O26="Yes",1,0))</f>
        <v>0</v>
      </c>
      <c r="G26" cm="1">
        <f t="array" ref="G26">_xlfn.IFS(cleaned_data!N26="Owned",1,cleaned_data!N26="Leased",0.75,cleaned_data!N26="State land",0.5,cleaned_data!N26="Communal",0.25)</f>
        <v>0.5</v>
      </c>
      <c r="H26" s="2" cm="1">
        <f t="array" ref="H26">_xlfn.IFS(cleaned_data!G26&gt;=10,1,cleaned_data!G26&gt;=5,0.75,cleaned_data!G26&gt;=2,0.5,TRUE,0.25)</f>
        <v>0.5</v>
      </c>
      <c r="I26">
        <f>IF(cleaned_data!P26="None",0,1)</f>
        <v>1</v>
      </c>
      <c r="J26" s="2" cm="1">
        <f t="array" ref="J26">_xlfn.IFS(cleaned_data!H26&gt;=20,1,cleaned_data!H26&gt;=10,0.75,cleaned_data!H26&gt;=5,0.5,cleaned_data!H26&gt;=1,0.25,TRUE,0)</f>
        <v>1</v>
      </c>
      <c r="K26" cm="1">
        <f t="array" ref="K26">_xlfn.IFS(cleaned_data!Q26&gt;=100000,1,cleaned_data!Q26&gt;=50000,0.75,cleaned_data!Q26&gt;=10000,0.5,TRUE,0.25)</f>
        <v>1</v>
      </c>
      <c r="L26" cm="1">
        <f t="array" ref="L26">_xlfn.IFS(cleaned_data!T26="","",cleaned_data!T26&lt;=10,1,cleaned_data!T26&lt;=25,0.75,cleaned_data!T26&lt;=40,0.5, cleaned_data!T26&gt;40,0.25)</f>
        <v>1</v>
      </c>
      <c r="M26">
        <f>IF(cleaned_data!U26="Yes",1,0)</f>
        <v>1</v>
      </c>
      <c r="N26" cm="1">
        <f t="array" ref="N26">_xlfn.IFS(cleaned_data!V26="Unknown","",cleaned_data!V26="Yes",1,TRUE,0)</f>
        <v>1</v>
      </c>
      <c r="O26" cm="1">
        <f t="array" ref="O26">_xlfn.IFS(cleaned_data!S26&gt;=4,1,cleaned_data!S26=3,0.75,cleaned_data!S26=2,0.5,cleaned_data!S26=1,0.25,TRUE,0)</f>
        <v>1</v>
      </c>
      <c r="P26" cm="1">
        <f t="array" ref="P26">_xlfn.IFS(cleaned_data!AB26&gt;=50,1,cleaned_data!AB26&gt;=35,0.75,cleaned_data!AB26&gt;=20,0.5,TRUE,0.25)</f>
        <v>1</v>
      </c>
      <c r="Q26" cm="1">
        <f t="array" ref="Q26">_xlfn.IFS(cleaned_data!X26&gt;=5,1,cleaned_data!X26&gt;=3,0.75,cleaned_data!X26=2,0.5,cleaned_data!X26=1,0.25,TRUE,0)</f>
        <v>1</v>
      </c>
      <c r="R26">
        <f>IF(cleaned_data!Y26="Yes",1,0)</f>
        <v>1</v>
      </c>
      <c r="S26">
        <f>IF(OR(cleaned_data!AF26="GlobalG.A.P.",cleaned_data!AF26="Fairtrade",cleaned_data!AF26="Organic (CERES)"),1,
IF(OR(cleaned_data!AF26="SIZA",cleaned_data!AF26="Woolworths TNC",cleaned_data!AF26="Checkers Good Farming"),0.75,
IF(cleaned_data!AF26="No Certificate",0,
IF(cleaned_data!AF26="Unknown","",""))))</f>
        <v>1</v>
      </c>
      <c r="T26">
        <f>IF(cleaned_data!AG26="Yes",1,0)</f>
        <v>0</v>
      </c>
      <c r="U26">
        <f>IF(OR(cleaned_data!AD26="No Loan",cleaned_data!AD26="Settled",cleaned_data!AD26="Current"),1,
IF(cleaned_data!AD26="In Arrears",0.5,
IF(cleaned_data!AD26="Defaulted",0,
IF(cleaned_data!AD26="Unknown","",""))))</f>
        <v>1</v>
      </c>
      <c r="V26" cm="1">
        <f t="array" ref="V26">_xlfn.IFS(cleaned_data!AE26&lt;=0.2,1,
cleaned_data!AE26&lt;=0.5,0.75,
cleaned_data!AE26&lt;=1,0.5,
cleaned_data!AE26&gt;1,0.25)</f>
        <v>1</v>
      </c>
      <c r="W26">
        <f>IF(cleaned_data!AJ26="Yes",1,0)</f>
        <v>1</v>
      </c>
      <c r="X26" s="2" cm="1">
        <f t="array" ref="X26">_xlfn.IFS(cleaned_data!AM26="Yes", 1,
cleaned_data!AM26="No", 0,
cleaned_data!AM26="Unknown", "")</f>
        <v>1</v>
      </c>
      <c r="Y26" cm="1">
        <f t="array" ref="Y26">_xlfn.IFS(cleaned_data!AK26="Solar", 1,
cleaned_data!AK26="Generator", 0.75,
cleaned_data!AK26="Eskom grid", 0.5,
TRUE, "")</f>
        <v>0.75</v>
      </c>
      <c r="Z26" cm="1">
        <f t="array" ref="Z26">_xlfn.IFS(cleaned_data!AL26="", "",
cleaned_data!AL26&lt;=8, 1,
cleaned_data!AL26&lt;=14, 0.75,
cleaned_data!AL26&lt;=21, 0.5,
cleaned_data!AL26&gt;=22, 0.25)</f>
        <v>1</v>
      </c>
      <c r="AA26" cm="1">
        <f t="array" ref="AA26">_xlfn.IFS(cleaned_data!AH26=0, 1,
cleaned_data!AH26=1, 0.75,
cleaned_data!AH26=2, 0.5,
cleaned_data!AH26&gt;=3, 0.25)</f>
        <v>0.25</v>
      </c>
      <c r="AB26" t="str" cm="1">
        <f t="array" ref="AB26">_xlfn.IFS(cleaned_data!AO26="", "",
cleaned_data!AO26&gt;=50, 1,
cleaned_data!AO26&gt;=30, 0.75,
cleaned_data!AO26&gt;=10, 0.5,
cleaned_data!AO26&lt;10, 0.25)</f>
        <v/>
      </c>
      <c r="AC26" cm="1">
        <f t="array" ref="AC26">_xlfn.IFS(cleaned_data!AP26&gt;=50,1, cleaned_data!AP26&gt;=30,0.75, cleaned_data!AP26&gt;=10,0.5, cleaned_data!AP26&lt;10,0.25)</f>
        <v>0.75</v>
      </c>
      <c r="AD26" cm="1">
        <f t="array" ref="AD26">_xlfn.IFS(cleaned_data!AQ26&gt;=30,1,
cleaned_data!AQ26&gt;=20,0.75,
cleaned_data!AQ26&gt;=10,0.5,
cleaned_data!AQ26&lt;10,0.25)</f>
        <v>0.75</v>
      </c>
      <c r="AE26" cm="1">
        <f t="array" ref="AE26">_xlfn.IFS(cleaned_data!AR26&gt;=75,1,
cleaned_data!AR26&gt;=50,0.75,
cleaned_data!AR26&gt;=25,0.5,
cleaned_data!AR26&lt;25,0.25)</f>
        <v>0.5</v>
      </c>
      <c r="AF26">
        <f>IF(cleaned_data!AS26="Yes",1,0)</f>
        <v>0</v>
      </c>
    </row>
    <row r="27" spans="1:32" hidden="1" x14ac:dyDescent="0.35">
      <c r="A27" t="s">
        <v>328</v>
      </c>
      <c r="B27" t="s">
        <v>327</v>
      </c>
      <c r="C27">
        <f>IF(cleaned_data!K27="Registered",1,0)</f>
        <v>1</v>
      </c>
      <c r="D27">
        <f>IF(cleaned_data!L27="Yes",1,0)</f>
        <v>1</v>
      </c>
      <c r="E27">
        <f>IF(cleaned_data!M27="Yes",1,0)</f>
        <v>1</v>
      </c>
      <c r="F27">
        <f>IF(cleaned_data!O27="Unknown","",IF(cleaned_data!O27="Yes",1,0))</f>
        <v>1</v>
      </c>
      <c r="G27" cm="1">
        <f t="array" ref="G27">_xlfn.IFS(cleaned_data!N27="Owned",1,cleaned_data!N27="Leased",0.75,cleaned_data!N27="State land",0.5,cleaned_data!N27="Communal",0.25)</f>
        <v>1</v>
      </c>
      <c r="H27" s="2" cm="1">
        <f t="array" ref="H27">_xlfn.IFS(cleaned_data!G27&gt;=10,1,cleaned_data!G27&gt;=5,0.75,cleaned_data!G27&gt;=2,0.5,TRUE,0.25)</f>
        <v>1</v>
      </c>
      <c r="I27">
        <f>IF(cleaned_data!P27="None",0,1)</f>
        <v>0</v>
      </c>
      <c r="J27" s="2" cm="1">
        <f t="array" ref="J27">_xlfn.IFS(cleaned_data!H27&gt;=20,1,cleaned_data!H27&gt;=10,0.75,cleaned_data!H27&gt;=5,0.5,cleaned_data!H27&gt;=1,0.25,TRUE,0)</f>
        <v>1</v>
      </c>
      <c r="K27" cm="1">
        <f t="array" ref="K27">_xlfn.IFS(cleaned_data!Q27&gt;=100000,1,cleaned_data!Q27&gt;=50000,0.75,cleaned_data!Q27&gt;=10000,0.5,TRUE,0.25)</f>
        <v>1</v>
      </c>
      <c r="L27" cm="1">
        <f t="array" ref="L27">_xlfn.IFS(cleaned_data!T27="","",cleaned_data!T27&lt;=10,1,cleaned_data!T27&lt;=25,0.75,cleaned_data!T27&lt;=40,0.5, cleaned_data!T27&gt;40,0.25)</f>
        <v>0.75</v>
      </c>
      <c r="M27">
        <f>IF(cleaned_data!U27="Yes",1,0)</f>
        <v>0</v>
      </c>
      <c r="N27" cm="1">
        <f t="array" ref="N27">_xlfn.IFS(cleaned_data!V27="Unknown","",cleaned_data!V27="Yes",1,TRUE,0)</f>
        <v>0</v>
      </c>
      <c r="O27" cm="1">
        <f t="array" ref="O27">_xlfn.IFS(cleaned_data!S27&gt;=4,1,cleaned_data!S27=3,0.75,cleaned_data!S27=2,0.5,cleaned_data!S27=1,0.25,TRUE,0)</f>
        <v>1</v>
      </c>
      <c r="P27" cm="1">
        <f t="array" ref="P27">_xlfn.IFS(cleaned_data!AB27&gt;=50,1,cleaned_data!AB27&gt;=35,0.75,cleaned_data!AB27&gt;=20,0.5,TRUE,0.25)</f>
        <v>1</v>
      </c>
      <c r="Q27" cm="1">
        <f t="array" ref="Q27">_xlfn.IFS(cleaned_data!X27&gt;=5,1,cleaned_data!X27&gt;=3,0.75,cleaned_data!X27=2,0.5,cleaned_data!X27=1,0.25,TRUE,0)</f>
        <v>1</v>
      </c>
      <c r="R27">
        <f>IF(cleaned_data!Y27="Yes",1,0)</f>
        <v>1</v>
      </c>
      <c r="S27">
        <f>IF(OR(cleaned_data!AF27="GlobalG.A.P.",cleaned_data!AF27="Fairtrade",cleaned_data!AF27="Organic (CERES)"),1,
IF(OR(cleaned_data!AF27="SIZA",cleaned_data!AF27="Woolworths TNC",cleaned_data!AF27="Checkers Good Farming"),0.75,
IF(cleaned_data!AF27="No Certificate",0,
IF(cleaned_data!AF27="Unknown","",""))))</f>
        <v>0.75</v>
      </c>
      <c r="T27">
        <f>IF(cleaned_data!AG27="Yes",1,0)</f>
        <v>1</v>
      </c>
      <c r="U27">
        <f>IF(OR(cleaned_data!AD27="No Loan",cleaned_data!AD27="Settled",cleaned_data!AD27="Current"),1,
IF(cleaned_data!AD27="In Arrears",0.5,
IF(cleaned_data!AD27="Defaulted",0,
IF(cleaned_data!AD27="Unknown","",""))))</f>
        <v>1</v>
      </c>
      <c r="V27" cm="1">
        <f t="array" ref="V27">_xlfn.IFS(cleaned_data!AE27&lt;=0.2,1,
cleaned_data!AE27&lt;=0.5,0.75,
cleaned_data!AE27&lt;=1,0.5,
cleaned_data!AE27&gt;1,0.25)</f>
        <v>0.75</v>
      </c>
      <c r="W27">
        <f>IF(cleaned_data!AJ27="Yes",1,0)</f>
        <v>1</v>
      </c>
      <c r="X27" s="2" cm="1">
        <f t="array" ref="X27">_xlfn.IFS(cleaned_data!AM27="Yes", 1,
cleaned_data!AM27="No", 0,
cleaned_data!AM27="Unknown", "")</f>
        <v>1</v>
      </c>
      <c r="Y27" cm="1">
        <f t="array" ref="Y27">_xlfn.IFS(cleaned_data!AK27="Solar", 1,
cleaned_data!AK27="Generator", 0.75,
cleaned_data!AK27="Eskom grid", 0.5,
TRUE, "")</f>
        <v>0.75</v>
      </c>
      <c r="Z27" cm="1">
        <f t="array" ref="Z27">_xlfn.IFS(cleaned_data!AL27="", "",
cleaned_data!AL27&lt;=8, 1,
cleaned_data!AL27&lt;=14, 0.75,
cleaned_data!AL27&lt;=21, 0.5,
cleaned_data!AL27&gt;=22, 0.25)</f>
        <v>1</v>
      </c>
      <c r="AA27" cm="1">
        <f t="array" ref="AA27">_xlfn.IFS(cleaned_data!AH27=0, 1,
cleaned_data!AH27=1, 0.75,
cleaned_data!AH27=2, 0.5,
cleaned_data!AH27&gt;=3, 0.25)</f>
        <v>0.75</v>
      </c>
      <c r="AB27" cm="1">
        <f t="array" ref="AB27">_xlfn.IFS(cleaned_data!AO27="", "",
cleaned_data!AO27&gt;=50, 1,
cleaned_data!AO27&gt;=30, 0.75,
cleaned_data!AO27&gt;=10, 0.5,
cleaned_data!AO27&lt;10, 0.25)</f>
        <v>0.25</v>
      </c>
      <c r="AC27" cm="1">
        <f t="array" ref="AC27">_xlfn.IFS(cleaned_data!AP27&gt;=50,1, cleaned_data!AP27&gt;=30,0.75, cleaned_data!AP27&gt;=10,0.5, cleaned_data!AP27&lt;10,0.25)</f>
        <v>0.75</v>
      </c>
      <c r="AD27" cm="1">
        <f t="array" ref="AD27">_xlfn.IFS(cleaned_data!AQ27&gt;=30,1,
cleaned_data!AQ27&gt;=20,0.75,
cleaned_data!AQ27&gt;=10,0.5,
cleaned_data!AQ27&lt;10,0.25)</f>
        <v>1</v>
      </c>
      <c r="AE27" cm="1">
        <f t="array" ref="AE27">_xlfn.IFS(cleaned_data!AR27&gt;=75,1,
cleaned_data!AR27&gt;=50,0.75,
cleaned_data!AR27&gt;=25,0.5,
cleaned_data!AR27&lt;25,0.25)</f>
        <v>1</v>
      </c>
      <c r="AF27">
        <f>IF(cleaned_data!AS27="Yes",1,0)</f>
        <v>1</v>
      </c>
    </row>
    <row r="28" spans="1:32" hidden="1" x14ac:dyDescent="0.35">
      <c r="A28" t="s">
        <v>326</v>
      </c>
      <c r="B28" t="s">
        <v>325</v>
      </c>
      <c r="C28">
        <f>IF(cleaned_data!K28="Registered",1,0)</f>
        <v>1</v>
      </c>
      <c r="D28">
        <f>IF(cleaned_data!L28="Yes",1,0)</f>
        <v>1</v>
      </c>
      <c r="E28">
        <f>IF(cleaned_data!M28="Yes",1,0)</f>
        <v>1</v>
      </c>
      <c r="F28">
        <f>IF(cleaned_data!O28="Unknown","",IF(cleaned_data!O28="Yes",1,0))</f>
        <v>0</v>
      </c>
      <c r="G28" cm="1">
        <f t="array" ref="G28">_xlfn.IFS(cleaned_data!N28="Owned",1,cleaned_data!N28="Leased",0.75,cleaned_data!N28="State land",0.5,cleaned_data!N28="Communal",0.25)</f>
        <v>0.75</v>
      </c>
      <c r="H28" s="2" cm="1">
        <f t="array" ref="H28">_xlfn.IFS(cleaned_data!G28&gt;=10,1,cleaned_data!G28&gt;=5,0.75,cleaned_data!G28&gt;=2,0.5,TRUE,0.25)</f>
        <v>1</v>
      </c>
      <c r="I28">
        <f>IF(cleaned_data!P28="None",0,1)</f>
        <v>0</v>
      </c>
      <c r="J28" s="2" cm="1">
        <f t="array" ref="J28">_xlfn.IFS(cleaned_data!H28&gt;=20,1,cleaned_data!H28&gt;=10,0.75,cleaned_data!H28&gt;=5,0.5,cleaned_data!H28&gt;=1,0.25,TRUE,0)</f>
        <v>1</v>
      </c>
      <c r="K28" cm="1">
        <f t="array" ref="K28">_xlfn.IFS(cleaned_data!Q28&gt;=100000,1,cleaned_data!Q28&gt;=50000,0.75,cleaned_data!Q28&gt;=10000,0.5,TRUE,0.25)</f>
        <v>0.75</v>
      </c>
      <c r="L28" cm="1">
        <f t="array" ref="L28">_xlfn.IFS(cleaned_data!T28="","",cleaned_data!T28&lt;=10,1,cleaned_data!T28&lt;=25,0.75,cleaned_data!T28&lt;=40,0.5, cleaned_data!T28&gt;40,0.25)</f>
        <v>0.75</v>
      </c>
      <c r="M28">
        <f>IF(cleaned_data!U28="Yes",1,0)</f>
        <v>1</v>
      </c>
      <c r="N28" cm="1">
        <f t="array" ref="N28">_xlfn.IFS(cleaned_data!V28="Unknown","",cleaned_data!V28="Yes",1,TRUE,0)</f>
        <v>1</v>
      </c>
      <c r="O28" cm="1">
        <f t="array" ref="O28">_xlfn.IFS(cleaned_data!S28&gt;=4,1,cleaned_data!S28=3,0.75,cleaned_data!S28=2,0.5,cleaned_data!S28=1,0.25,TRUE,0)</f>
        <v>0.75</v>
      </c>
      <c r="P28" cm="1">
        <f t="array" ref="P28">_xlfn.IFS(cleaned_data!AB28&gt;=50,1,cleaned_data!AB28&gt;=35,0.75,cleaned_data!AB28&gt;=20,0.5,TRUE,0.25)</f>
        <v>0.75</v>
      </c>
      <c r="Q28" cm="1">
        <f t="array" ref="Q28">_xlfn.IFS(cleaned_data!X28&gt;=5,1,cleaned_data!X28&gt;=3,0.75,cleaned_data!X28=2,0.5,cleaned_data!X28=1,0.25,TRUE,0)</f>
        <v>1</v>
      </c>
      <c r="R28">
        <f>IF(cleaned_data!Y28="Yes",1,0)</f>
        <v>1</v>
      </c>
      <c r="S28">
        <f>IF(OR(cleaned_data!AF28="GlobalG.A.P.",cleaned_data!AF28="Fairtrade",cleaned_data!AF28="Organic (CERES)"),1,
IF(OR(cleaned_data!AF28="SIZA",cleaned_data!AF28="Woolworths TNC",cleaned_data!AF28="Checkers Good Farming"),0.75,
IF(cleaned_data!AF28="No Certificate",0,
IF(cleaned_data!AF28="Unknown","",""))))</f>
        <v>1</v>
      </c>
      <c r="T28">
        <f>IF(cleaned_data!AG28="Yes",1,0)</f>
        <v>0</v>
      </c>
      <c r="U28">
        <f>IF(OR(cleaned_data!AD28="No Loan",cleaned_data!AD28="Settled",cleaned_data!AD28="Current"),1,
IF(cleaned_data!AD28="In Arrears",0.5,
IF(cleaned_data!AD28="Defaulted",0,
IF(cleaned_data!AD28="Unknown","",""))))</f>
        <v>1</v>
      </c>
      <c r="V28" cm="1">
        <f t="array" ref="V28">_xlfn.IFS(cleaned_data!AE28&lt;=0.2,1,
cleaned_data!AE28&lt;=0.5,0.75,
cleaned_data!AE28&lt;=1,0.5,
cleaned_data!AE28&gt;1,0.25)</f>
        <v>1</v>
      </c>
      <c r="W28">
        <f>IF(cleaned_data!AJ28="Yes",1,0)</f>
        <v>1</v>
      </c>
      <c r="X28" s="2" cm="1">
        <f t="array" ref="X28">_xlfn.IFS(cleaned_data!AM28="Yes", 1,
cleaned_data!AM28="No", 0,
cleaned_data!AM28="Unknown", "")</f>
        <v>1</v>
      </c>
      <c r="Y28" cm="1">
        <f t="array" ref="Y28">_xlfn.IFS(cleaned_data!AK28="Solar", 1,
cleaned_data!AK28="Generator", 0.75,
cleaned_data!AK28="Eskom grid", 0.5,
TRUE, "")</f>
        <v>0.75</v>
      </c>
      <c r="Z28" cm="1">
        <f t="array" ref="Z28">_xlfn.IFS(cleaned_data!AL28="", "",
cleaned_data!AL28&lt;=8, 1,
cleaned_data!AL28&lt;=14, 0.75,
cleaned_data!AL28&lt;=21, 0.5,
cleaned_data!AL28&gt;=22, 0.25)</f>
        <v>0.75</v>
      </c>
      <c r="AA28" cm="1">
        <f t="array" ref="AA28">_xlfn.IFS(cleaned_data!AH28=0, 1,
cleaned_data!AH28=1, 0.75,
cleaned_data!AH28=2, 0.5,
cleaned_data!AH28&gt;=3, 0.25)</f>
        <v>0.25</v>
      </c>
      <c r="AB28" cm="1">
        <f t="array" ref="AB28">_xlfn.IFS(cleaned_data!AO28="", "",
cleaned_data!AO28&gt;=50, 1,
cleaned_data!AO28&gt;=30, 0.75,
cleaned_data!AO28&gt;=10, 0.5,
cleaned_data!AO28&lt;10, 0.25)</f>
        <v>0.75</v>
      </c>
      <c r="AC28" cm="1">
        <f t="array" ref="AC28">_xlfn.IFS(cleaned_data!AP28&gt;=50,1, cleaned_data!AP28&gt;=30,0.75, cleaned_data!AP28&gt;=10,0.5, cleaned_data!AP28&lt;10,0.25)</f>
        <v>1</v>
      </c>
      <c r="AD28" cm="1">
        <f t="array" ref="AD28">_xlfn.IFS(cleaned_data!AQ28&gt;=30,1,
cleaned_data!AQ28&gt;=20,0.75,
cleaned_data!AQ28&gt;=10,0.5,
cleaned_data!AQ28&lt;10,0.25)</f>
        <v>0.25</v>
      </c>
      <c r="AE28" cm="1">
        <f t="array" ref="AE28">_xlfn.IFS(cleaned_data!AR28&gt;=75,1,
cleaned_data!AR28&gt;=50,0.75,
cleaned_data!AR28&gt;=25,0.5,
cleaned_data!AR28&lt;25,0.25)</f>
        <v>0.75</v>
      </c>
      <c r="AF28">
        <f>IF(cleaned_data!AS28="Yes",1,0)</f>
        <v>0</v>
      </c>
    </row>
    <row r="29" spans="1:32" x14ac:dyDescent="0.35">
      <c r="A29" t="s">
        <v>324</v>
      </c>
      <c r="B29" t="s">
        <v>323</v>
      </c>
      <c r="C29">
        <f>IF(cleaned_data!K29="Registered",1,0)</f>
        <v>1</v>
      </c>
      <c r="D29">
        <f>IF(cleaned_data!L29="Yes",1,0)</f>
        <v>1</v>
      </c>
      <c r="E29">
        <f>IF(cleaned_data!M29="Yes",1,0)</f>
        <v>1</v>
      </c>
      <c r="F29">
        <f>IF(cleaned_data!O29="Unknown","",IF(cleaned_data!O29="Yes",1,0))</f>
        <v>1</v>
      </c>
      <c r="G29" cm="1">
        <f t="array" ref="G29">_xlfn.IFS(cleaned_data!N29="Owned",1,cleaned_data!N29="Leased",0.75,cleaned_data!N29="State land",0.5,cleaned_data!N29="Communal",0.25)</f>
        <v>1</v>
      </c>
      <c r="H29" s="2" cm="1">
        <f t="array" ref="H29">_xlfn.IFS(cleaned_data!G29&gt;=10,1,cleaned_data!G29&gt;=5,0.75,cleaned_data!G29&gt;=2,0.5,TRUE,0.25)</f>
        <v>1</v>
      </c>
      <c r="I29">
        <f>IF(cleaned_data!P29="None",0,1)</f>
        <v>1</v>
      </c>
      <c r="J29" s="2" cm="1">
        <f t="array" ref="J29">_xlfn.IFS(cleaned_data!H29&gt;=20,1,cleaned_data!H29&gt;=10,0.75,cleaned_data!H29&gt;=5,0.5,cleaned_data!H29&gt;=1,0.25,TRUE,0)</f>
        <v>1</v>
      </c>
      <c r="K29" cm="1">
        <f t="array" ref="K29">_xlfn.IFS(cleaned_data!Q29&gt;=100000,1,cleaned_data!Q29&gt;=50000,0.75,cleaned_data!Q29&gt;=10000,0.5,TRUE,0.25)</f>
        <v>1</v>
      </c>
      <c r="L29" cm="1">
        <f t="array" ref="L29">_xlfn.IFS(cleaned_data!T29="","",cleaned_data!T29&lt;=10,1,cleaned_data!T29&lt;=25,0.75,cleaned_data!T29&lt;=40,0.5, cleaned_data!T29&gt;40,0.25)</f>
        <v>0.75</v>
      </c>
      <c r="M29">
        <f>IF(cleaned_data!U29="Yes",1,0)</f>
        <v>1</v>
      </c>
      <c r="N29" cm="1">
        <f t="array" ref="N29">_xlfn.IFS(cleaned_data!V29="Unknown","",cleaned_data!V29="Yes",1,TRUE,0)</f>
        <v>1</v>
      </c>
      <c r="O29" cm="1">
        <f t="array" ref="O29">_xlfn.IFS(cleaned_data!S29&gt;=4,1,cleaned_data!S29=3,0.75,cleaned_data!S29=2,0.5,cleaned_data!S29=1,0.25,TRUE,0)</f>
        <v>0.25</v>
      </c>
      <c r="P29" cm="1">
        <f t="array" ref="P29">_xlfn.IFS(cleaned_data!AB29&gt;=50,1,cleaned_data!AB29&gt;=35,0.75,cleaned_data!AB29&gt;=20,0.5,TRUE,0.25)</f>
        <v>1</v>
      </c>
      <c r="Q29" cm="1">
        <f t="array" ref="Q29">_xlfn.IFS(cleaned_data!X29&gt;=5,1,cleaned_data!X29&gt;=3,0.75,cleaned_data!X29=2,0.5,cleaned_data!X29=1,0.25,TRUE,0)</f>
        <v>1</v>
      </c>
      <c r="R29">
        <f>IF(cleaned_data!Y29="Yes",1,0)</f>
        <v>1</v>
      </c>
      <c r="S29">
        <f>IF(OR(cleaned_data!AF29="GlobalG.A.P.",cleaned_data!AF29="Fairtrade",cleaned_data!AF29="Organic (CERES)"),1,
IF(OR(cleaned_data!AF29="SIZA",cleaned_data!AF29="Woolworths TNC",cleaned_data!AF29="Checkers Good Farming"),0.75,
IF(cleaned_data!AF29="No Certificate",0,
IF(cleaned_data!AF29="Unknown","",""))))</f>
        <v>0.75</v>
      </c>
      <c r="T29">
        <f>IF(cleaned_data!AG29="Yes",1,0)</f>
        <v>1</v>
      </c>
      <c r="U29">
        <f>IF(OR(cleaned_data!AD29="No Loan",cleaned_data!AD29="Settled",cleaned_data!AD29="Current"),1,
IF(cleaned_data!AD29="In Arrears",0.5,
IF(cleaned_data!AD29="Defaulted",0,
IF(cleaned_data!AD29="Unknown","",""))))</f>
        <v>1</v>
      </c>
      <c r="V29" cm="1">
        <f t="array" ref="V29">_xlfn.IFS(cleaned_data!AE29&lt;=0.2,1,
cleaned_data!AE29&lt;=0.5,0.75,
cleaned_data!AE29&lt;=1,0.5,
cleaned_data!AE29&gt;1,0.25)</f>
        <v>1</v>
      </c>
      <c r="W29">
        <f>IF(cleaned_data!AJ29="Yes",1,0)</f>
        <v>1</v>
      </c>
      <c r="X29" s="2" cm="1">
        <f t="array" ref="X29">_xlfn.IFS(cleaned_data!AM29="Yes", 1,
cleaned_data!AM29="No", 0,
cleaned_data!AM29="Unknown", "")</f>
        <v>1</v>
      </c>
      <c r="Y29" cm="1">
        <f t="array" ref="Y29">_xlfn.IFS(cleaned_data!AK29="Solar", 1,
cleaned_data!AK29="Generator", 0.75,
cleaned_data!AK29="Eskom grid", 0.5,
TRUE, "")</f>
        <v>0.5</v>
      </c>
      <c r="Z29" cm="1">
        <f t="array" ref="Z29">_xlfn.IFS(cleaned_data!AL29="", "",
cleaned_data!AL29&lt;=8, 1,
cleaned_data!AL29&lt;=14, 0.75,
cleaned_data!AL29&lt;=21, 0.5,
cleaned_data!AL29&gt;=22, 0.25)</f>
        <v>0.75</v>
      </c>
      <c r="AA29" cm="1">
        <f t="array" ref="AA29">_xlfn.IFS(cleaned_data!AH29=0, 1,
cleaned_data!AH29=1, 0.75,
cleaned_data!AH29=2, 0.5,
cleaned_data!AH29&gt;=3, 0.25)</f>
        <v>0.75</v>
      </c>
      <c r="AB29" cm="1">
        <f t="array" ref="AB29">_xlfn.IFS(cleaned_data!AO29="", "",
cleaned_data!AO29&gt;=50, 1,
cleaned_data!AO29&gt;=30, 0.75,
cleaned_data!AO29&gt;=10, 0.5,
cleaned_data!AO29&lt;10, 0.25)</f>
        <v>1</v>
      </c>
      <c r="AC29" cm="1">
        <f t="array" ref="AC29">_xlfn.IFS(cleaned_data!AP29&gt;=50,1, cleaned_data!AP29&gt;=30,0.75, cleaned_data!AP29&gt;=10,0.5, cleaned_data!AP29&lt;10,0.25)</f>
        <v>0.75</v>
      </c>
      <c r="AD29" cm="1">
        <f t="array" ref="AD29">_xlfn.IFS(cleaned_data!AQ29&gt;=30,1,
cleaned_data!AQ29&gt;=20,0.75,
cleaned_data!AQ29&gt;=10,0.5,
cleaned_data!AQ29&lt;10,0.25)</f>
        <v>0.5</v>
      </c>
      <c r="AE29" cm="1">
        <f t="array" ref="AE29">_xlfn.IFS(cleaned_data!AR29&gt;=75,1,
cleaned_data!AR29&gt;=50,0.75,
cleaned_data!AR29&gt;=25,0.5,
cleaned_data!AR29&lt;25,0.25)</f>
        <v>0.5</v>
      </c>
      <c r="AF29">
        <f>IF(cleaned_data!AS29="Yes",1,0)</f>
        <v>0</v>
      </c>
    </row>
    <row r="30" spans="1:32" hidden="1" x14ac:dyDescent="0.35">
      <c r="A30" t="s">
        <v>322</v>
      </c>
      <c r="B30" t="s">
        <v>321</v>
      </c>
      <c r="C30">
        <f>IF(cleaned_data!K30="Registered",1,0)</f>
        <v>0</v>
      </c>
      <c r="D30">
        <f>IF(cleaned_data!L30="Yes",1,0)</f>
        <v>1</v>
      </c>
      <c r="E30">
        <f>IF(cleaned_data!M30="Yes",1,0)</f>
        <v>0</v>
      </c>
      <c r="F30">
        <f>IF(cleaned_data!O30="Unknown","",IF(cleaned_data!O30="Yes",1,0))</f>
        <v>1</v>
      </c>
      <c r="G30" cm="1">
        <f t="array" ref="G30">_xlfn.IFS(cleaned_data!N30="Owned",1,cleaned_data!N30="Leased",0.75,cleaned_data!N30="State land",0.5,cleaned_data!N30="Communal",0.25)</f>
        <v>1</v>
      </c>
      <c r="H30" s="2" cm="1">
        <f t="array" ref="H30">_xlfn.IFS(cleaned_data!G30&gt;=10,1,cleaned_data!G30&gt;=5,0.75,cleaned_data!G30&gt;=2,0.5,TRUE,0.25)</f>
        <v>1</v>
      </c>
      <c r="I30">
        <f>IF(cleaned_data!P30="None",0,1)</f>
        <v>1</v>
      </c>
      <c r="J30" s="2" cm="1">
        <f t="array" ref="J30">_xlfn.IFS(cleaned_data!H30&gt;=20,1,cleaned_data!H30&gt;=10,0.75,cleaned_data!H30&gt;=5,0.5,cleaned_data!H30&gt;=1,0.25,TRUE,0)</f>
        <v>1</v>
      </c>
      <c r="K30" cm="1">
        <f t="array" ref="K30">_xlfn.IFS(cleaned_data!Q30&gt;=100000,1,cleaned_data!Q30&gt;=50000,0.75,cleaned_data!Q30&gt;=10000,0.5,TRUE,0.25)</f>
        <v>1</v>
      </c>
      <c r="L30" cm="1">
        <f t="array" ref="L30">_xlfn.IFS(cleaned_data!T30="","",cleaned_data!T30&lt;=10,1,cleaned_data!T30&lt;=25,0.75,cleaned_data!T30&lt;=40,0.5, cleaned_data!T30&gt;40,0.25)</f>
        <v>1</v>
      </c>
      <c r="M30">
        <f>IF(cleaned_data!U30="Yes",1,0)</f>
        <v>1</v>
      </c>
      <c r="N30" cm="1">
        <f t="array" ref="N30">_xlfn.IFS(cleaned_data!V30="Unknown","",cleaned_data!V30="Yes",1,TRUE,0)</f>
        <v>0</v>
      </c>
      <c r="O30" cm="1">
        <f t="array" ref="O30">_xlfn.IFS(cleaned_data!S30&gt;=4,1,cleaned_data!S30=3,0.75,cleaned_data!S30=2,0.5,cleaned_data!S30=1,0.25,TRUE,0)</f>
        <v>1</v>
      </c>
      <c r="P30" cm="1">
        <f t="array" ref="P30">_xlfn.IFS(cleaned_data!AB30&gt;=50,1,cleaned_data!AB30&gt;=35,0.75,cleaned_data!AB30&gt;=20,0.5,TRUE,0.25)</f>
        <v>0.5</v>
      </c>
      <c r="Q30" cm="1">
        <f t="array" ref="Q30">_xlfn.IFS(cleaned_data!X30&gt;=5,1,cleaned_data!X30&gt;=3,0.75,cleaned_data!X30=2,0.5,cleaned_data!X30=1,0.25,TRUE,0)</f>
        <v>0.75</v>
      </c>
      <c r="R30">
        <f>IF(cleaned_data!Y30="Yes",1,0)</f>
        <v>0</v>
      </c>
      <c r="S30">
        <f>IF(OR(cleaned_data!AF30="GlobalG.A.P.",cleaned_data!AF30="Fairtrade",cleaned_data!AF30="Organic (CERES)"),1,
IF(OR(cleaned_data!AF30="SIZA",cleaned_data!AF30="Woolworths TNC",cleaned_data!AF30="Checkers Good Farming"),0.75,
IF(cleaned_data!AF30="No Certificate",0,
IF(cleaned_data!AF30="Unknown","",""))))</f>
        <v>1</v>
      </c>
      <c r="T30">
        <f>IF(cleaned_data!AG30="Yes",1,0)</f>
        <v>0</v>
      </c>
      <c r="U30">
        <f>IF(OR(cleaned_data!AD30="No Loan",cleaned_data!AD30="Settled",cleaned_data!AD30="Current"),1,
IF(cleaned_data!AD30="In Arrears",0.5,
IF(cleaned_data!AD30="Defaulted",0,
IF(cleaned_data!AD30="Unknown","",""))))</f>
        <v>1</v>
      </c>
      <c r="V30" cm="1">
        <f t="array" ref="V30">_xlfn.IFS(cleaned_data!AE30&lt;=0.2,1,
cleaned_data!AE30&lt;=0.5,0.75,
cleaned_data!AE30&lt;=1,0.5,
cleaned_data!AE30&gt;1,0.25)</f>
        <v>1</v>
      </c>
      <c r="W30">
        <f>IF(cleaned_data!AJ30="Yes",1,0)</f>
        <v>0</v>
      </c>
      <c r="X30" s="2" cm="1">
        <f t="array" ref="X30">_xlfn.IFS(cleaned_data!AM30="Yes", 1,
cleaned_data!AM30="No", 0,
cleaned_data!AM30="Unknown", "")</f>
        <v>0</v>
      </c>
      <c r="Y30" cm="1">
        <f t="array" ref="Y30">_xlfn.IFS(cleaned_data!AK30="Solar", 1,
cleaned_data!AK30="Generator", 0.75,
cleaned_data!AK30="Eskom grid", 0.5,
TRUE, "")</f>
        <v>1</v>
      </c>
      <c r="Z30" cm="1">
        <f t="array" ref="Z30">_xlfn.IFS(cleaned_data!AL30="", "",
cleaned_data!AL30&lt;=8, 1,
cleaned_data!AL30&lt;=14, 0.75,
cleaned_data!AL30&lt;=21, 0.5,
cleaned_data!AL30&gt;=22, 0.25)</f>
        <v>1</v>
      </c>
      <c r="AA30" cm="1">
        <f t="array" ref="AA30">_xlfn.IFS(cleaned_data!AH30=0, 1,
cleaned_data!AH30=1, 0.75,
cleaned_data!AH30=2, 0.5,
cleaned_data!AH30&gt;=3, 0.25)</f>
        <v>0.25</v>
      </c>
      <c r="AB30" cm="1">
        <f t="array" ref="AB30">_xlfn.IFS(cleaned_data!AO30="", "",
cleaned_data!AO30&gt;=50, 1,
cleaned_data!AO30&gt;=30, 0.75,
cleaned_data!AO30&gt;=10, 0.5,
cleaned_data!AO30&lt;10, 0.25)</f>
        <v>0.25</v>
      </c>
      <c r="AC30" cm="1">
        <f t="array" ref="AC30">_xlfn.IFS(cleaned_data!AP30&gt;=50,1, cleaned_data!AP30&gt;=30,0.75, cleaned_data!AP30&gt;=10,0.5, cleaned_data!AP30&lt;10,0.25)</f>
        <v>0.5</v>
      </c>
      <c r="AD30" cm="1">
        <f t="array" ref="AD30">_xlfn.IFS(cleaned_data!AQ30&gt;=30,1,
cleaned_data!AQ30&gt;=20,0.75,
cleaned_data!AQ30&gt;=10,0.5,
cleaned_data!AQ30&lt;10,0.25)</f>
        <v>1</v>
      </c>
      <c r="AE30" cm="1">
        <f t="array" ref="AE30">_xlfn.IFS(cleaned_data!AR30&gt;=75,1,
cleaned_data!AR30&gt;=50,0.75,
cleaned_data!AR30&gt;=25,0.5,
cleaned_data!AR30&lt;25,0.25)</f>
        <v>1</v>
      </c>
      <c r="AF30">
        <f>IF(cleaned_data!AS30="Yes",1,0)</f>
        <v>0</v>
      </c>
    </row>
    <row r="31" spans="1:32" x14ac:dyDescent="0.35">
      <c r="A31" t="s">
        <v>320</v>
      </c>
      <c r="B31" t="s">
        <v>319</v>
      </c>
      <c r="C31">
        <f>IF(cleaned_data!K31="Registered",1,0)</f>
        <v>1</v>
      </c>
      <c r="D31">
        <f>IF(cleaned_data!L31="Yes",1,0)</f>
        <v>0</v>
      </c>
      <c r="E31">
        <f>IF(cleaned_data!M31="Yes",1,0)</f>
        <v>1</v>
      </c>
      <c r="F31">
        <f>IF(cleaned_data!O31="Unknown","",IF(cleaned_data!O31="Yes",1,0))</f>
        <v>1</v>
      </c>
      <c r="G31" cm="1">
        <f t="array" ref="G31">_xlfn.IFS(cleaned_data!N31="Owned",1,cleaned_data!N31="Leased",0.75,cleaned_data!N31="State land",0.5,cleaned_data!N31="Communal",0.25)</f>
        <v>1</v>
      </c>
      <c r="H31" s="2" cm="1">
        <f t="array" ref="H31">_xlfn.IFS(cleaned_data!G31&gt;=10,1,cleaned_data!G31&gt;=5,0.75,cleaned_data!G31&gt;=2,0.5,TRUE,0.25)</f>
        <v>1</v>
      </c>
      <c r="I31">
        <f>IF(cleaned_data!P31="None",0,1)</f>
        <v>1</v>
      </c>
      <c r="J31" s="2" cm="1">
        <f t="array" ref="J31">_xlfn.IFS(cleaned_data!H31&gt;=20,1,cleaned_data!H31&gt;=10,0.75,cleaned_data!H31&gt;=5,0.5,cleaned_data!H31&gt;=1,0.25,TRUE,0)</f>
        <v>1</v>
      </c>
      <c r="K31" cm="1">
        <f t="array" ref="K31">_xlfn.IFS(cleaned_data!Q31&gt;=100000,1,cleaned_data!Q31&gt;=50000,0.75,cleaned_data!Q31&gt;=10000,0.5,TRUE,0.25)</f>
        <v>0.5</v>
      </c>
      <c r="L31" cm="1">
        <f t="array" ref="L31">_xlfn.IFS(cleaned_data!T31="","",cleaned_data!T31&lt;=10,1,cleaned_data!T31&lt;=25,0.75,cleaned_data!T31&lt;=40,0.5, cleaned_data!T31&gt;40,0.25)</f>
        <v>0.75</v>
      </c>
      <c r="M31">
        <f>IF(cleaned_data!U31="Yes",1,0)</f>
        <v>1</v>
      </c>
      <c r="N31" cm="1">
        <f t="array" ref="N31">_xlfn.IFS(cleaned_data!V31="Unknown","",cleaned_data!V31="Yes",1,TRUE,0)</f>
        <v>1</v>
      </c>
      <c r="O31" cm="1">
        <f t="array" ref="O31">_xlfn.IFS(cleaned_data!S31&gt;=4,1,cleaned_data!S31=3,0.75,cleaned_data!S31=2,0.5,cleaned_data!S31=1,0.25,TRUE,0)</f>
        <v>1</v>
      </c>
      <c r="P31" cm="1">
        <f t="array" ref="P31">_xlfn.IFS(cleaned_data!AB31&gt;=50,1,cleaned_data!AB31&gt;=35,0.75,cleaned_data!AB31&gt;=20,0.5,TRUE,0.25)</f>
        <v>0.75</v>
      </c>
      <c r="Q31" cm="1">
        <f t="array" ref="Q31">_xlfn.IFS(cleaned_data!X31&gt;=5,1,cleaned_data!X31&gt;=3,0.75,cleaned_data!X31=2,0.5,cleaned_data!X31=1,0.25,TRUE,0)</f>
        <v>0.75</v>
      </c>
      <c r="R31">
        <f>IF(cleaned_data!Y31="Yes",1,0)</f>
        <v>1</v>
      </c>
      <c r="S31">
        <f>IF(OR(cleaned_data!AF31="GlobalG.A.P.",cleaned_data!AF31="Fairtrade",cleaned_data!AF31="Organic (CERES)"),1,
IF(OR(cleaned_data!AF31="SIZA",cleaned_data!AF31="Woolworths TNC",cleaned_data!AF31="Checkers Good Farming"),0.75,
IF(cleaned_data!AF31="No Certificate",0,
IF(cleaned_data!AF31="Unknown","",""))))</f>
        <v>0.75</v>
      </c>
      <c r="T31">
        <f>IF(cleaned_data!AG31="Yes",1,0)</f>
        <v>1</v>
      </c>
      <c r="U31">
        <f>IF(OR(cleaned_data!AD31="No Loan",cleaned_data!AD31="Settled",cleaned_data!AD31="Current"),1,
IF(cleaned_data!AD31="In Arrears",0.5,
IF(cleaned_data!AD31="Defaulted",0,
IF(cleaned_data!AD31="Unknown","",""))))</f>
        <v>1</v>
      </c>
      <c r="V31" cm="1">
        <f t="array" ref="V31">_xlfn.IFS(cleaned_data!AE31&lt;=0.2,1,
cleaned_data!AE31&lt;=0.5,0.75,
cleaned_data!AE31&lt;=1,0.5,
cleaned_data!AE31&gt;1,0.25)</f>
        <v>0.75</v>
      </c>
      <c r="W31">
        <f>IF(cleaned_data!AJ31="Yes",1,0)</f>
        <v>1</v>
      </c>
      <c r="X31" s="2" cm="1">
        <f t="array" ref="X31">_xlfn.IFS(cleaned_data!AM31="Yes", 1,
cleaned_data!AM31="No", 0,
cleaned_data!AM31="Unknown", "")</f>
        <v>1</v>
      </c>
      <c r="Y31" cm="1">
        <f t="array" ref="Y31">_xlfn.IFS(cleaned_data!AK31="Solar", 1,
cleaned_data!AK31="Generator", 0.75,
cleaned_data!AK31="Eskom grid", 0.5,
TRUE, "")</f>
        <v>1</v>
      </c>
      <c r="Z31" cm="1">
        <f t="array" ref="Z31">_xlfn.IFS(cleaned_data!AL31="", "",
cleaned_data!AL31&lt;=8, 1,
cleaned_data!AL31&lt;=14, 0.75,
cleaned_data!AL31&lt;=21, 0.5,
cleaned_data!AL31&gt;=22, 0.25)</f>
        <v>1</v>
      </c>
      <c r="AA31" cm="1">
        <f t="array" ref="AA31">_xlfn.IFS(cleaned_data!AH31=0, 1,
cleaned_data!AH31=1, 0.75,
cleaned_data!AH31=2, 0.5,
cleaned_data!AH31&gt;=3, 0.25)</f>
        <v>0.25</v>
      </c>
      <c r="AB31" cm="1">
        <f t="array" ref="AB31">_xlfn.IFS(cleaned_data!AO31="", "",
cleaned_data!AO31&gt;=50, 1,
cleaned_data!AO31&gt;=30, 0.75,
cleaned_data!AO31&gt;=10, 0.5,
cleaned_data!AO31&lt;10, 0.25)</f>
        <v>1</v>
      </c>
      <c r="AC31" cm="1">
        <f t="array" ref="AC31">_xlfn.IFS(cleaned_data!AP31&gt;=50,1, cleaned_data!AP31&gt;=30,0.75, cleaned_data!AP31&gt;=10,0.5, cleaned_data!AP31&lt;10,0.25)</f>
        <v>0.5</v>
      </c>
      <c r="AD31" cm="1">
        <f t="array" ref="AD31">_xlfn.IFS(cleaned_data!AQ31&gt;=30,1,
cleaned_data!AQ31&gt;=20,0.75,
cleaned_data!AQ31&gt;=10,0.5,
cleaned_data!AQ31&lt;10,0.25)</f>
        <v>0.5</v>
      </c>
      <c r="AE31" cm="1">
        <f t="array" ref="AE31">_xlfn.IFS(cleaned_data!AR31&gt;=75,1,
cleaned_data!AR31&gt;=50,0.75,
cleaned_data!AR31&gt;=25,0.5,
cleaned_data!AR31&lt;25,0.25)</f>
        <v>1</v>
      </c>
      <c r="AF31">
        <f>IF(cleaned_data!AS31="Yes",1,0)</f>
        <v>0</v>
      </c>
    </row>
    <row r="32" spans="1:32" hidden="1" x14ac:dyDescent="0.35">
      <c r="A32" t="s">
        <v>318</v>
      </c>
      <c r="B32" t="s">
        <v>297</v>
      </c>
      <c r="C32">
        <f>IF(cleaned_data!K32="Registered",1,0)</f>
        <v>1</v>
      </c>
      <c r="D32">
        <f>IF(cleaned_data!L32="Yes",1,0)</f>
        <v>1</v>
      </c>
      <c r="E32">
        <f>IF(cleaned_data!M32="Yes",1,0)</f>
        <v>1</v>
      </c>
      <c r="F32">
        <f>IF(cleaned_data!O32="Unknown","",IF(cleaned_data!O32="Yes",1,0))</f>
        <v>1</v>
      </c>
      <c r="G32" cm="1">
        <f t="array" ref="G32">_xlfn.IFS(cleaned_data!N32="Owned",1,cleaned_data!N32="Leased",0.75,cleaned_data!N32="State land",0.5,cleaned_data!N32="Communal",0.25)</f>
        <v>1</v>
      </c>
      <c r="H32" s="2" cm="1">
        <f t="array" ref="H32">_xlfn.IFS(cleaned_data!G32&gt;=10,1,cleaned_data!G32&gt;=5,0.75,cleaned_data!G32&gt;=2,0.5,TRUE,0.25)</f>
        <v>0.5</v>
      </c>
      <c r="I32">
        <f>IF(cleaned_data!P32="None",0,1)</f>
        <v>1</v>
      </c>
      <c r="J32" s="2" cm="1">
        <f t="array" ref="J32">_xlfn.IFS(cleaned_data!H32&gt;=20,1,cleaned_data!H32&gt;=10,0.75,cleaned_data!H32&gt;=5,0.5,cleaned_data!H32&gt;=1,0.25,TRUE,0)</f>
        <v>1</v>
      </c>
      <c r="K32" cm="1">
        <f t="array" ref="K32">_xlfn.IFS(cleaned_data!Q32&gt;=100000,1,cleaned_data!Q32&gt;=50000,0.75,cleaned_data!Q32&gt;=10000,0.5,TRUE,0.25)</f>
        <v>0.5</v>
      </c>
      <c r="L32" cm="1">
        <f t="array" ref="L32">_xlfn.IFS(cleaned_data!T32="","",cleaned_data!T32&lt;=10,1,cleaned_data!T32&lt;=25,0.75,cleaned_data!T32&lt;=40,0.5, cleaned_data!T32&gt;40,0.25)</f>
        <v>0.75</v>
      </c>
      <c r="M32">
        <f>IF(cleaned_data!U32="Yes",1,0)</f>
        <v>1</v>
      </c>
      <c r="N32" cm="1">
        <f t="array" ref="N32">_xlfn.IFS(cleaned_data!V32="Unknown","",cleaned_data!V32="Yes",1,TRUE,0)</f>
        <v>1</v>
      </c>
      <c r="O32" cm="1">
        <f t="array" ref="O32">_xlfn.IFS(cleaned_data!S32&gt;=4,1,cleaned_data!S32=3,0.75,cleaned_data!S32=2,0.5,cleaned_data!S32=1,0.25,TRUE,0)</f>
        <v>0.75</v>
      </c>
      <c r="P32" cm="1">
        <f t="array" ref="P32">_xlfn.IFS(cleaned_data!AB32&gt;=50,1,cleaned_data!AB32&gt;=35,0.75,cleaned_data!AB32&gt;=20,0.5,TRUE,0.25)</f>
        <v>1</v>
      </c>
      <c r="Q32" cm="1">
        <f t="array" ref="Q32">_xlfn.IFS(cleaned_data!X32&gt;=5,1,cleaned_data!X32&gt;=3,0.75,cleaned_data!X32=2,0.5,cleaned_data!X32=1,0.25,TRUE,0)</f>
        <v>0</v>
      </c>
      <c r="R32">
        <f>IF(cleaned_data!Y32="Yes",1,0)</f>
        <v>1</v>
      </c>
      <c r="S32">
        <f>IF(OR(cleaned_data!AF32="GlobalG.A.P.",cleaned_data!AF32="Fairtrade",cleaned_data!AF32="Organic (CERES)"),1,
IF(OR(cleaned_data!AF32="SIZA",cleaned_data!AF32="Woolworths TNC",cleaned_data!AF32="Checkers Good Farming"),0.75,
IF(cleaned_data!AF32="No Certificate",0,
IF(cleaned_data!AF32="Unknown","",""))))</f>
        <v>0.75</v>
      </c>
      <c r="T32">
        <f>IF(cleaned_data!AG32="Yes",1,0)</f>
        <v>0</v>
      </c>
      <c r="U32">
        <f>IF(OR(cleaned_data!AD32="No Loan",cleaned_data!AD32="Settled",cleaned_data!AD32="Current"),1,
IF(cleaned_data!AD32="In Arrears",0.5,
IF(cleaned_data!AD32="Defaulted",0,
IF(cleaned_data!AD32="Unknown","",""))))</f>
        <v>1</v>
      </c>
      <c r="V32" cm="1">
        <f t="array" ref="V32">_xlfn.IFS(cleaned_data!AE32&lt;=0.2,1,
cleaned_data!AE32&lt;=0.5,0.75,
cleaned_data!AE32&lt;=1,0.5,
cleaned_data!AE32&gt;1,0.25)</f>
        <v>1</v>
      </c>
      <c r="W32">
        <f>IF(cleaned_data!AJ32="Yes",1,0)</f>
        <v>1</v>
      </c>
      <c r="X32" s="2" cm="1">
        <f t="array" ref="X32">_xlfn.IFS(cleaned_data!AM32="Yes", 1,
cleaned_data!AM32="No", 0,
cleaned_data!AM32="Unknown", "")</f>
        <v>1</v>
      </c>
      <c r="Y32" cm="1">
        <f t="array" ref="Y32">_xlfn.IFS(cleaned_data!AK32="Solar", 1,
cleaned_data!AK32="Generator", 0.75,
cleaned_data!AK32="Eskom grid", 0.5,
TRUE, "")</f>
        <v>0.75</v>
      </c>
      <c r="Z32" cm="1">
        <f t="array" ref="Z32">_xlfn.IFS(cleaned_data!AL32="", "",
cleaned_data!AL32&lt;=8, 1,
cleaned_data!AL32&lt;=14, 0.75,
cleaned_data!AL32&lt;=21, 0.5,
cleaned_data!AL32&gt;=22, 0.25)</f>
        <v>1</v>
      </c>
      <c r="AA32" cm="1">
        <f t="array" ref="AA32">_xlfn.IFS(cleaned_data!AH32=0, 1,
cleaned_data!AH32=1, 0.75,
cleaned_data!AH32=2, 0.5,
cleaned_data!AH32&gt;=3, 0.25)</f>
        <v>0.5</v>
      </c>
      <c r="AB32" cm="1">
        <f t="array" ref="AB32">_xlfn.IFS(cleaned_data!AO32="", "",
cleaned_data!AO32&gt;=50, 1,
cleaned_data!AO32&gt;=30, 0.75,
cleaned_data!AO32&gt;=10, 0.5,
cleaned_data!AO32&lt;10, 0.25)</f>
        <v>0.75</v>
      </c>
      <c r="AC32" cm="1">
        <f t="array" ref="AC32">_xlfn.IFS(cleaned_data!AP32&gt;=50,1, cleaned_data!AP32&gt;=30,0.75, cleaned_data!AP32&gt;=10,0.5, cleaned_data!AP32&lt;10,0.25)</f>
        <v>0.75</v>
      </c>
      <c r="AD32" cm="1">
        <f t="array" ref="AD32">_xlfn.IFS(cleaned_data!AQ32&gt;=30,1,
cleaned_data!AQ32&gt;=20,0.75,
cleaned_data!AQ32&gt;=10,0.5,
cleaned_data!AQ32&lt;10,0.25)</f>
        <v>0.75</v>
      </c>
      <c r="AE32" cm="1">
        <f t="array" ref="AE32">_xlfn.IFS(cleaned_data!AR32&gt;=75,1,
cleaned_data!AR32&gt;=50,0.75,
cleaned_data!AR32&gt;=25,0.5,
cleaned_data!AR32&lt;25,0.25)</f>
        <v>0.75</v>
      </c>
      <c r="AF32">
        <f>IF(cleaned_data!AS32="Yes",1,0)</f>
        <v>1</v>
      </c>
    </row>
    <row r="33" spans="1:32" x14ac:dyDescent="0.35">
      <c r="A33" t="s">
        <v>317</v>
      </c>
      <c r="B33" t="s">
        <v>316</v>
      </c>
      <c r="C33">
        <f>IF(cleaned_data!K33="Registered",1,0)</f>
        <v>0</v>
      </c>
      <c r="D33">
        <f>IF(cleaned_data!L33="Yes",1,0)</f>
        <v>1</v>
      </c>
      <c r="E33">
        <f>IF(cleaned_data!M33="Yes",1,0)</f>
        <v>1</v>
      </c>
      <c r="F33">
        <f>IF(cleaned_data!O33="Unknown","",IF(cleaned_data!O33="Yes",1,0))</f>
        <v>1</v>
      </c>
      <c r="G33" cm="1">
        <f t="array" ref="G33">_xlfn.IFS(cleaned_data!N33="Owned",1,cleaned_data!N33="Leased",0.75,cleaned_data!N33="State land",0.5,cleaned_data!N33="Communal",0.25)</f>
        <v>1</v>
      </c>
      <c r="H33" s="2" cm="1">
        <f t="array" ref="H33">_xlfn.IFS(cleaned_data!G33&gt;=10,1,cleaned_data!G33&gt;=5,0.75,cleaned_data!G33&gt;=2,0.5,TRUE,0.25)</f>
        <v>0.75</v>
      </c>
      <c r="I33">
        <f>IF(cleaned_data!P33="None",0,1)</f>
        <v>1</v>
      </c>
      <c r="J33" s="2" cm="1">
        <f t="array" ref="J33">_xlfn.IFS(cleaned_data!H33&gt;=20,1,cleaned_data!H33&gt;=10,0.75,cleaned_data!H33&gt;=5,0.5,cleaned_data!H33&gt;=1,0.25,TRUE,0)</f>
        <v>1</v>
      </c>
      <c r="K33" cm="1">
        <f t="array" ref="K33">_xlfn.IFS(cleaned_data!Q33&gt;=100000,1,cleaned_data!Q33&gt;=50000,0.75,cleaned_data!Q33&gt;=10000,0.5,TRUE,0.25)</f>
        <v>1</v>
      </c>
      <c r="L33" cm="1">
        <f t="array" ref="L33">_xlfn.IFS(cleaned_data!T33="","",cleaned_data!T33&lt;=10,1,cleaned_data!T33&lt;=25,0.75,cleaned_data!T33&lt;=40,0.5, cleaned_data!T33&gt;40,0.25)</f>
        <v>0.75</v>
      </c>
      <c r="M33">
        <f>IF(cleaned_data!U33="Yes",1,0)</f>
        <v>1</v>
      </c>
      <c r="N33" cm="1">
        <f t="array" ref="N33">_xlfn.IFS(cleaned_data!V33="Unknown","",cleaned_data!V33="Yes",1,TRUE,0)</f>
        <v>1</v>
      </c>
      <c r="O33" cm="1">
        <f t="array" ref="O33">_xlfn.IFS(cleaned_data!S33&gt;=4,1,cleaned_data!S33=3,0.75,cleaned_data!S33=2,0.5,cleaned_data!S33=1,0.25,TRUE,0)</f>
        <v>1</v>
      </c>
      <c r="P33" cm="1">
        <f t="array" ref="P33">_xlfn.IFS(cleaned_data!AB33&gt;=50,1,cleaned_data!AB33&gt;=35,0.75,cleaned_data!AB33&gt;=20,0.5,TRUE,0.25)</f>
        <v>0.75</v>
      </c>
      <c r="Q33" cm="1">
        <f t="array" ref="Q33">_xlfn.IFS(cleaned_data!X33&gt;=5,1,cleaned_data!X33&gt;=3,0.75,cleaned_data!X33=2,0.5,cleaned_data!X33=1,0.25,TRUE,0)</f>
        <v>1</v>
      </c>
      <c r="R33">
        <f>IF(cleaned_data!Y33="Yes",1,0)</f>
        <v>1</v>
      </c>
      <c r="S33">
        <f>IF(OR(cleaned_data!AF33="GlobalG.A.P.",cleaned_data!AF33="Fairtrade",cleaned_data!AF33="Organic (CERES)"),1,
IF(OR(cleaned_data!AF33="SIZA",cleaned_data!AF33="Woolworths TNC",cleaned_data!AF33="Checkers Good Farming"),0.75,
IF(cleaned_data!AF33="No Certificate",0,
IF(cleaned_data!AF33="Unknown","",""))))</f>
        <v>0.75</v>
      </c>
      <c r="T33">
        <f>IF(cleaned_data!AG33="Yes",1,0)</f>
        <v>1</v>
      </c>
      <c r="U33">
        <f>IF(OR(cleaned_data!AD33="No Loan",cleaned_data!AD33="Settled",cleaned_data!AD33="Current"),1,
IF(cleaned_data!AD33="In Arrears",0.5,
IF(cleaned_data!AD33="Defaulted",0,
IF(cleaned_data!AD33="Unknown","",""))))</f>
        <v>0.5</v>
      </c>
      <c r="V33" cm="1">
        <f t="array" ref="V33">_xlfn.IFS(cleaned_data!AE33&lt;=0.2,1,
cleaned_data!AE33&lt;=0.5,0.75,
cleaned_data!AE33&lt;=1,0.5,
cleaned_data!AE33&gt;1,0.25)</f>
        <v>1</v>
      </c>
      <c r="W33">
        <f>IF(cleaned_data!AJ33="Yes",1,0)</f>
        <v>1</v>
      </c>
      <c r="X33" s="2" cm="1">
        <f t="array" ref="X33">_xlfn.IFS(cleaned_data!AM33="Yes", 1,
cleaned_data!AM33="No", 0,
cleaned_data!AM33="Unknown", "")</f>
        <v>0</v>
      </c>
      <c r="Y33" cm="1">
        <f t="array" ref="Y33">_xlfn.IFS(cleaned_data!AK33="Solar", 1,
cleaned_data!AK33="Generator", 0.75,
cleaned_data!AK33="Eskom grid", 0.5,
TRUE, "")</f>
        <v>0.5</v>
      </c>
      <c r="Z33" cm="1">
        <f t="array" ref="Z33">_xlfn.IFS(cleaned_data!AL33="", "",
cleaned_data!AL33&lt;=8, 1,
cleaned_data!AL33&lt;=14, 0.75,
cleaned_data!AL33&lt;=21, 0.5,
cleaned_data!AL33&gt;=22, 0.25)</f>
        <v>0.75</v>
      </c>
      <c r="AA33" cm="1">
        <f t="array" ref="AA33">_xlfn.IFS(cleaned_data!AH33=0, 1,
cleaned_data!AH33=1, 0.75,
cleaned_data!AH33=2, 0.5,
cleaned_data!AH33&gt;=3, 0.25)</f>
        <v>1</v>
      </c>
      <c r="AB33" cm="1">
        <f t="array" ref="AB33">_xlfn.IFS(cleaned_data!AO33="", "",
cleaned_data!AO33&gt;=50, 1,
cleaned_data!AO33&gt;=30, 0.75,
cleaned_data!AO33&gt;=10, 0.5,
cleaned_data!AO33&lt;10, 0.25)</f>
        <v>1</v>
      </c>
      <c r="AC33" cm="1">
        <f t="array" ref="AC33">_xlfn.IFS(cleaned_data!AP33&gt;=50,1, cleaned_data!AP33&gt;=30,0.75, cleaned_data!AP33&gt;=10,0.5, cleaned_data!AP33&lt;10,0.25)</f>
        <v>0.75</v>
      </c>
      <c r="AD33" cm="1">
        <f t="array" ref="AD33">_xlfn.IFS(cleaned_data!AQ33&gt;=30,1,
cleaned_data!AQ33&gt;=20,0.75,
cleaned_data!AQ33&gt;=10,0.5,
cleaned_data!AQ33&lt;10,0.25)</f>
        <v>0.75</v>
      </c>
      <c r="AE33" cm="1">
        <f t="array" ref="AE33">_xlfn.IFS(cleaned_data!AR33&gt;=75,1,
cleaned_data!AR33&gt;=50,0.75,
cleaned_data!AR33&gt;=25,0.5,
cleaned_data!AR33&lt;25,0.25)</f>
        <v>0.75</v>
      </c>
      <c r="AF33">
        <f>IF(cleaned_data!AS33="Yes",1,0)</f>
        <v>0</v>
      </c>
    </row>
    <row r="34" spans="1:32" hidden="1" x14ac:dyDescent="0.35">
      <c r="A34" t="s">
        <v>315</v>
      </c>
      <c r="B34" t="s">
        <v>314</v>
      </c>
      <c r="C34">
        <f>IF(cleaned_data!K34="Registered",1,0)</f>
        <v>1</v>
      </c>
      <c r="D34">
        <f>IF(cleaned_data!L34="Yes",1,0)</f>
        <v>1</v>
      </c>
      <c r="E34">
        <f>IF(cleaned_data!M34="Yes",1,0)</f>
        <v>1</v>
      </c>
      <c r="F34">
        <f>IF(cleaned_data!O34="Unknown","",IF(cleaned_data!O34="Yes",1,0))</f>
        <v>1</v>
      </c>
      <c r="G34" cm="1">
        <f t="array" ref="G34">_xlfn.IFS(cleaned_data!N34="Owned",1,cleaned_data!N34="Leased",0.75,cleaned_data!N34="State land",0.5,cleaned_data!N34="Communal",0.25)</f>
        <v>1</v>
      </c>
      <c r="H34" s="2" cm="1">
        <f t="array" ref="H34">_xlfn.IFS(cleaned_data!G34&gt;=10,1,cleaned_data!G34&gt;=5,0.75,cleaned_data!G34&gt;=2,0.5,TRUE,0.25)</f>
        <v>1</v>
      </c>
      <c r="I34">
        <f>IF(cleaned_data!P34="None",0,1)</f>
        <v>1</v>
      </c>
      <c r="J34" s="2" cm="1">
        <f t="array" ref="J34">_xlfn.IFS(cleaned_data!H34&gt;=20,1,cleaned_data!H34&gt;=10,0.75,cleaned_data!H34&gt;=5,0.5,cleaned_data!H34&gt;=1,0.25,TRUE,0)</f>
        <v>1</v>
      </c>
      <c r="K34" cm="1">
        <f t="array" ref="K34">_xlfn.IFS(cleaned_data!Q34&gt;=100000,1,cleaned_data!Q34&gt;=50000,0.75,cleaned_data!Q34&gt;=10000,0.5,TRUE,0.25)</f>
        <v>1</v>
      </c>
      <c r="L34" cm="1">
        <f t="array" ref="L34">_xlfn.IFS(cleaned_data!T34="","",cleaned_data!T34&lt;=10,1,cleaned_data!T34&lt;=25,0.75,cleaned_data!T34&lt;=40,0.5, cleaned_data!T34&gt;40,0.25)</f>
        <v>0.75</v>
      </c>
      <c r="M34">
        <f>IF(cleaned_data!U34="Yes",1,0)</f>
        <v>1</v>
      </c>
      <c r="N34" cm="1">
        <f t="array" ref="N34">_xlfn.IFS(cleaned_data!V34="Unknown","",cleaned_data!V34="Yes",1,TRUE,0)</f>
        <v>1</v>
      </c>
      <c r="O34" cm="1">
        <f t="array" ref="O34">_xlfn.IFS(cleaned_data!S34&gt;=4,1,cleaned_data!S34=3,0.75,cleaned_data!S34=2,0.5,cleaned_data!S34=1,0.25,TRUE,0)</f>
        <v>1</v>
      </c>
      <c r="P34" cm="1">
        <f t="array" ref="P34">_xlfn.IFS(cleaned_data!AB34&gt;=50,1,cleaned_data!AB34&gt;=35,0.75,cleaned_data!AB34&gt;=20,0.5,TRUE,0.25)</f>
        <v>0.75</v>
      </c>
      <c r="Q34" cm="1">
        <f t="array" ref="Q34">_xlfn.IFS(cleaned_data!X34&gt;=5,1,cleaned_data!X34&gt;=3,0.75,cleaned_data!X34=2,0.5,cleaned_data!X34=1,0.25,TRUE,0)</f>
        <v>1</v>
      </c>
      <c r="R34">
        <f>IF(cleaned_data!Y34="Yes",1,0)</f>
        <v>1</v>
      </c>
      <c r="S34">
        <f>IF(OR(cleaned_data!AF34="GlobalG.A.P.",cleaned_data!AF34="Fairtrade",cleaned_data!AF34="Organic (CERES)"),1,
IF(OR(cleaned_data!AF34="SIZA",cleaned_data!AF34="Woolworths TNC",cleaned_data!AF34="Checkers Good Farming"),0.75,
IF(cleaned_data!AF34="No Certificate",0,
IF(cleaned_data!AF34="Unknown","",""))))</f>
        <v>0.75</v>
      </c>
      <c r="T34">
        <f>IF(cleaned_data!AG34="Yes",1,0)</f>
        <v>1</v>
      </c>
      <c r="U34">
        <f>IF(OR(cleaned_data!AD34="No Loan",cleaned_data!AD34="Settled",cleaned_data!AD34="Current"),1,
IF(cleaned_data!AD34="In Arrears",0.5,
IF(cleaned_data!AD34="Defaulted",0,
IF(cleaned_data!AD34="Unknown","",""))))</f>
        <v>1</v>
      </c>
      <c r="V34" cm="1">
        <f t="array" ref="V34">_xlfn.IFS(cleaned_data!AE34&lt;=0.2,1,
cleaned_data!AE34&lt;=0.5,0.75,
cleaned_data!AE34&lt;=1,0.5,
cleaned_data!AE34&gt;1,0.25)</f>
        <v>1</v>
      </c>
      <c r="W34">
        <f>IF(cleaned_data!AJ34="Yes",1,0)</f>
        <v>1</v>
      </c>
      <c r="X34" s="2" cm="1">
        <f t="array" ref="X34">_xlfn.IFS(cleaned_data!AM34="Yes", 1,
cleaned_data!AM34="No", 0,
cleaned_data!AM34="Unknown", "")</f>
        <v>1</v>
      </c>
      <c r="Y34" cm="1">
        <f t="array" ref="Y34">_xlfn.IFS(cleaned_data!AK34="Solar", 1,
cleaned_data!AK34="Generator", 0.75,
cleaned_data!AK34="Eskom grid", 0.5,
TRUE, "")</f>
        <v>0.5</v>
      </c>
      <c r="Z34" cm="1">
        <f t="array" ref="Z34">_xlfn.IFS(cleaned_data!AL34="", "",
cleaned_data!AL34&lt;=8, 1,
cleaned_data!AL34&lt;=14, 0.75,
cleaned_data!AL34&lt;=21, 0.5,
cleaned_data!AL34&gt;=22, 0.25)</f>
        <v>0.75</v>
      </c>
      <c r="AA34" cm="1">
        <f t="array" ref="AA34">_xlfn.IFS(cleaned_data!AH34=0, 1,
cleaned_data!AH34=1, 0.75,
cleaned_data!AH34=2, 0.5,
cleaned_data!AH34&gt;=3, 0.25)</f>
        <v>1</v>
      </c>
      <c r="AB34" cm="1">
        <f t="array" ref="AB34">_xlfn.IFS(cleaned_data!AO34="", "",
cleaned_data!AO34&gt;=50, 1,
cleaned_data!AO34&gt;=30, 0.75,
cleaned_data!AO34&gt;=10, 0.5,
cleaned_data!AO34&lt;10, 0.25)</f>
        <v>0.75</v>
      </c>
      <c r="AC34" cm="1">
        <f t="array" ref="AC34">_xlfn.IFS(cleaned_data!AP34&gt;=50,1, cleaned_data!AP34&gt;=30,0.75, cleaned_data!AP34&gt;=10,0.5, cleaned_data!AP34&lt;10,0.25)</f>
        <v>1</v>
      </c>
      <c r="AD34" cm="1">
        <f t="array" ref="AD34">_xlfn.IFS(cleaned_data!AQ34&gt;=30,1,
cleaned_data!AQ34&gt;=20,0.75,
cleaned_data!AQ34&gt;=10,0.5,
cleaned_data!AQ34&lt;10,0.25)</f>
        <v>0.5</v>
      </c>
      <c r="AE34" cm="1">
        <f t="array" ref="AE34">_xlfn.IFS(cleaned_data!AR34&gt;=75,1,
cleaned_data!AR34&gt;=50,0.75,
cleaned_data!AR34&gt;=25,0.5,
cleaned_data!AR34&lt;25,0.25)</f>
        <v>0.75</v>
      </c>
      <c r="AF34">
        <f>IF(cleaned_data!AS34="Yes",1,0)</f>
        <v>0</v>
      </c>
    </row>
    <row r="35" spans="1:32" hidden="1" x14ac:dyDescent="0.35">
      <c r="A35" t="s">
        <v>313</v>
      </c>
      <c r="B35" t="s">
        <v>312</v>
      </c>
      <c r="C35">
        <f>IF(cleaned_data!K35="Registered",1,0)</f>
        <v>1</v>
      </c>
      <c r="D35">
        <f>IF(cleaned_data!L35="Yes",1,0)</f>
        <v>1</v>
      </c>
      <c r="E35">
        <f>IF(cleaned_data!M35="Yes",1,0)</f>
        <v>1</v>
      </c>
      <c r="F35">
        <f>IF(cleaned_data!O35="Unknown","",IF(cleaned_data!O35="Yes",1,0))</f>
        <v>1</v>
      </c>
      <c r="G35" cm="1">
        <f t="array" ref="G35">_xlfn.IFS(cleaned_data!N35="Owned",1,cleaned_data!N35="Leased",0.75,cleaned_data!N35="State land",0.5,cleaned_data!N35="Communal",0.25)</f>
        <v>1</v>
      </c>
      <c r="H35" s="2" cm="1">
        <f t="array" ref="H35">_xlfn.IFS(cleaned_data!G35&gt;=10,1,cleaned_data!G35&gt;=5,0.75,cleaned_data!G35&gt;=2,0.5,TRUE,0.25)</f>
        <v>1</v>
      </c>
      <c r="I35">
        <f>IF(cleaned_data!P35="None",0,1)</f>
        <v>1</v>
      </c>
      <c r="J35" s="2" cm="1">
        <f t="array" ref="J35">_xlfn.IFS(cleaned_data!H35&gt;=20,1,cleaned_data!H35&gt;=10,0.75,cleaned_data!H35&gt;=5,0.5,cleaned_data!H35&gt;=1,0.25,TRUE,0)</f>
        <v>1</v>
      </c>
      <c r="K35" cm="1">
        <f t="array" ref="K35">_xlfn.IFS(cleaned_data!Q35&gt;=100000,1,cleaned_data!Q35&gt;=50000,0.75,cleaned_data!Q35&gt;=10000,0.5,TRUE,0.25)</f>
        <v>0.75</v>
      </c>
      <c r="L35" cm="1">
        <f t="array" ref="L35">_xlfn.IFS(cleaned_data!T35="","",cleaned_data!T35&lt;=10,1,cleaned_data!T35&lt;=25,0.75,cleaned_data!T35&lt;=40,0.5, cleaned_data!T35&gt;40,0.25)</f>
        <v>0.75</v>
      </c>
      <c r="M35">
        <f>IF(cleaned_data!U35="Yes",1,0)</f>
        <v>1</v>
      </c>
      <c r="N35" cm="1">
        <f t="array" ref="N35">_xlfn.IFS(cleaned_data!V35="Unknown","",cleaned_data!V35="Yes",1,TRUE,0)</f>
        <v>1</v>
      </c>
      <c r="O35" cm="1">
        <f t="array" ref="O35">_xlfn.IFS(cleaned_data!S35&gt;=4,1,cleaned_data!S35=3,0.75,cleaned_data!S35=2,0.5,cleaned_data!S35=1,0.25,TRUE,0)</f>
        <v>0.5</v>
      </c>
      <c r="P35" cm="1">
        <f t="array" ref="P35">_xlfn.IFS(cleaned_data!AB35&gt;=50,1,cleaned_data!AB35&gt;=35,0.75,cleaned_data!AB35&gt;=20,0.5,TRUE,0.25)</f>
        <v>1</v>
      </c>
      <c r="Q35" cm="1">
        <f t="array" ref="Q35">_xlfn.IFS(cleaned_data!X35&gt;=5,1,cleaned_data!X35&gt;=3,0.75,cleaned_data!X35=2,0.5,cleaned_data!X35=1,0.25,TRUE,0)</f>
        <v>1</v>
      </c>
      <c r="R35">
        <f>IF(cleaned_data!Y35="Yes",1,0)</f>
        <v>0</v>
      </c>
      <c r="S35">
        <f>IF(OR(cleaned_data!AF35="GlobalG.A.P.",cleaned_data!AF35="Fairtrade",cleaned_data!AF35="Organic (CERES)"),1,
IF(OR(cleaned_data!AF35="SIZA",cleaned_data!AF35="Woolworths TNC",cleaned_data!AF35="Checkers Good Farming"),0.75,
IF(cleaned_data!AF35="No Certificate",0,
IF(cleaned_data!AF35="Unknown","",""))))</f>
        <v>1</v>
      </c>
      <c r="T35">
        <f>IF(cleaned_data!AG35="Yes",1,0)</f>
        <v>1</v>
      </c>
      <c r="U35">
        <f>IF(OR(cleaned_data!AD35="No Loan",cleaned_data!AD35="Settled",cleaned_data!AD35="Current"),1,
IF(cleaned_data!AD35="In Arrears",0.5,
IF(cleaned_data!AD35="Defaulted",0,
IF(cleaned_data!AD35="Unknown","",""))))</f>
        <v>1</v>
      </c>
      <c r="V35" cm="1">
        <f t="array" ref="V35">_xlfn.IFS(cleaned_data!AE35&lt;=0.2,1,
cleaned_data!AE35&lt;=0.5,0.75,
cleaned_data!AE35&lt;=1,0.5,
cleaned_data!AE35&gt;1,0.25)</f>
        <v>1</v>
      </c>
      <c r="W35">
        <f>IF(cleaned_data!AJ35="Yes",1,0)</f>
        <v>1</v>
      </c>
      <c r="X35" s="2" cm="1">
        <f t="array" ref="X35">_xlfn.IFS(cleaned_data!AM35="Yes", 1,
cleaned_data!AM35="No", 0,
cleaned_data!AM35="Unknown", "")</f>
        <v>1</v>
      </c>
      <c r="Y35" cm="1">
        <f t="array" ref="Y35">_xlfn.IFS(cleaned_data!AK35="Solar", 1,
cleaned_data!AK35="Generator", 0.75,
cleaned_data!AK35="Eskom grid", 0.5,
TRUE, "")</f>
        <v>0.5</v>
      </c>
      <c r="Z35" cm="1">
        <f t="array" ref="Z35">_xlfn.IFS(cleaned_data!AL35="", "",
cleaned_data!AL35&lt;=8, 1,
cleaned_data!AL35&lt;=14, 0.75,
cleaned_data!AL35&lt;=21, 0.5,
cleaned_data!AL35&gt;=22, 0.25)</f>
        <v>0.25</v>
      </c>
      <c r="AA35" cm="1">
        <f t="array" ref="AA35">_xlfn.IFS(cleaned_data!AH35=0, 1,
cleaned_data!AH35=1, 0.75,
cleaned_data!AH35=2, 0.5,
cleaned_data!AH35&gt;=3, 0.25)</f>
        <v>0.25</v>
      </c>
      <c r="AB35" cm="1">
        <f t="array" ref="AB35">_xlfn.IFS(cleaned_data!AO35="", "",
cleaned_data!AO35&gt;=50, 1,
cleaned_data!AO35&gt;=30, 0.75,
cleaned_data!AO35&gt;=10, 0.5,
cleaned_data!AO35&lt;10, 0.25)</f>
        <v>0.5</v>
      </c>
      <c r="AC35" cm="1">
        <f t="array" ref="AC35">_xlfn.IFS(cleaned_data!AP35&gt;=50,1, cleaned_data!AP35&gt;=30,0.75, cleaned_data!AP35&gt;=10,0.5, cleaned_data!AP35&lt;10,0.25)</f>
        <v>0.5</v>
      </c>
      <c r="AD35" cm="1">
        <f t="array" ref="AD35">_xlfn.IFS(cleaned_data!AQ35&gt;=30,1,
cleaned_data!AQ35&gt;=20,0.75,
cleaned_data!AQ35&gt;=10,0.5,
cleaned_data!AQ35&lt;10,0.25)</f>
        <v>1</v>
      </c>
      <c r="AE35" cm="1">
        <f t="array" ref="AE35">_xlfn.IFS(cleaned_data!AR35&gt;=75,1,
cleaned_data!AR35&gt;=50,0.75,
cleaned_data!AR35&gt;=25,0.5,
cleaned_data!AR35&lt;25,0.25)</f>
        <v>1</v>
      </c>
      <c r="AF35">
        <f>IF(cleaned_data!AS35="Yes",1,0)</f>
        <v>0</v>
      </c>
    </row>
    <row r="36" spans="1:32" x14ac:dyDescent="0.35">
      <c r="A36" t="s">
        <v>311</v>
      </c>
      <c r="B36" t="s">
        <v>271</v>
      </c>
      <c r="C36">
        <f>IF(cleaned_data!K36="Registered",1,0)</f>
        <v>1</v>
      </c>
      <c r="D36">
        <f>IF(cleaned_data!L36="Yes",1,0)</f>
        <v>1</v>
      </c>
      <c r="E36">
        <f>IF(cleaned_data!M36="Yes",1,0)</f>
        <v>1</v>
      </c>
      <c r="F36">
        <f>IF(cleaned_data!O36="Unknown","",IF(cleaned_data!O36="Yes",1,0))</f>
        <v>1</v>
      </c>
      <c r="G36" cm="1">
        <f t="array" ref="G36">_xlfn.IFS(cleaned_data!N36="Owned",1,cleaned_data!N36="Leased",0.75,cleaned_data!N36="State land",0.5,cleaned_data!N36="Communal",0.25)</f>
        <v>0.75</v>
      </c>
      <c r="H36" s="2" cm="1">
        <f t="array" ref="H36">_xlfn.IFS(cleaned_data!G36&gt;=10,1,cleaned_data!G36&gt;=5,0.75,cleaned_data!G36&gt;=2,0.5,TRUE,0.25)</f>
        <v>1</v>
      </c>
      <c r="I36">
        <f>IF(cleaned_data!P36="None",0,1)</f>
        <v>1</v>
      </c>
      <c r="J36" s="2" cm="1">
        <f t="array" ref="J36">_xlfn.IFS(cleaned_data!H36&gt;=20,1,cleaned_data!H36&gt;=10,0.75,cleaned_data!H36&gt;=5,0.5,cleaned_data!H36&gt;=1,0.25,TRUE,0)</f>
        <v>1</v>
      </c>
      <c r="K36" cm="1">
        <f t="array" ref="K36">_xlfn.IFS(cleaned_data!Q36&gt;=100000,1,cleaned_data!Q36&gt;=50000,0.75,cleaned_data!Q36&gt;=10000,0.5,TRUE,0.25)</f>
        <v>1</v>
      </c>
      <c r="L36" cm="1">
        <f t="array" ref="L36">_xlfn.IFS(cleaned_data!T36="","",cleaned_data!T36&lt;=10,1,cleaned_data!T36&lt;=25,0.75,cleaned_data!T36&lt;=40,0.5, cleaned_data!T36&gt;40,0.25)</f>
        <v>0.75</v>
      </c>
      <c r="M36">
        <f>IF(cleaned_data!U36="Yes",1,0)</f>
        <v>1</v>
      </c>
      <c r="N36" cm="1">
        <f t="array" ref="N36">_xlfn.IFS(cleaned_data!V36="Unknown","",cleaned_data!V36="Yes",1,TRUE,0)</f>
        <v>1</v>
      </c>
      <c r="O36" cm="1">
        <f t="array" ref="O36">_xlfn.IFS(cleaned_data!S36&gt;=4,1,cleaned_data!S36=3,0.75,cleaned_data!S36=2,0.5,cleaned_data!S36=1,0.25,TRUE,0)</f>
        <v>1</v>
      </c>
      <c r="P36" cm="1">
        <f t="array" ref="P36">_xlfn.IFS(cleaned_data!AB36&gt;=50,1,cleaned_data!AB36&gt;=35,0.75,cleaned_data!AB36&gt;=20,0.5,TRUE,0.25)</f>
        <v>0.5</v>
      </c>
      <c r="Q36" cm="1">
        <f t="array" ref="Q36">_xlfn.IFS(cleaned_data!X36&gt;=5,1,cleaned_data!X36&gt;=3,0.75,cleaned_data!X36=2,0.5,cleaned_data!X36=1,0.25,TRUE,0)</f>
        <v>1</v>
      </c>
      <c r="R36">
        <f>IF(cleaned_data!Y36="Yes",1,0)</f>
        <v>0</v>
      </c>
      <c r="S36">
        <f>IF(OR(cleaned_data!AF36="GlobalG.A.P.",cleaned_data!AF36="Fairtrade",cleaned_data!AF36="Organic (CERES)"),1,
IF(OR(cleaned_data!AF36="SIZA",cleaned_data!AF36="Woolworths TNC",cleaned_data!AF36="Checkers Good Farming"),0.75,
IF(cleaned_data!AF36="No Certificate",0,
IF(cleaned_data!AF36="Unknown","",""))))</f>
        <v>1</v>
      </c>
      <c r="T36">
        <f>IF(cleaned_data!AG36="Yes",1,0)</f>
        <v>1</v>
      </c>
      <c r="U36">
        <f>IF(OR(cleaned_data!AD36="No Loan",cleaned_data!AD36="Settled",cleaned_data!AD36="Current"),1,
IF(cleaned_data!AD36="In Arrears",0.5,
IF(cleaned_data!AD36="Defaulted",0,
IF(cleaned_data!AD36="Unknown","",""))))</f>
        <v>1</v>
      </c>
      <c r="V36" cm="1">
        <f t="array" ref="V36">_xlfn.IFS(cleaned_data!AE36&lt;=0.2,1,
cleaned_data!AE36&lt;=0.5,0.75,
cleaned_data!AE36&lt;=1,0.5,
cleaned_data!AE36&gt;1,0.25)</f>
        <v>1</v>
      </c>
      <c r="W36">
        <f>IF(cleaned_data!AJ36="Yes",1,0)</f>
        <v>1</v>
      </c>
      <c r="X36" s="2" cm="1">
        <f t="array" ref="X36">_xlfn.IFS(cleaned_data!AM36="Yes", 1,
cleaned_data!AM36="No", 0,
cleaned_data!AM36="Unknown", "")</f>
        <v>1</v>
      </c>
      <c r="Y36" cm="1">
        <f t="array" ref="Y36">_xlfn.IFS(cleaned_data!AK36="Solar", 1,
cleaned_data!AK36="Generator", 0.75,
cleaned_data!AK36="Eskom grid", 0.5,
TRUE, "")</f>
        <v>0.5</v>
      </c>
      <c r="Z36" cm="1">
        <f t="array" ref="Z36">_xlfn.IFS(cleaned_data!AL36="", "",
cleaned_data!AL36&lt;=8, 1,
cleaned_data!AL36&lt;=14, 0.75,
cleaned_data!AL36&lt;=21, 0.5,
cleaned_data!AL36&gt;=22, 0.25)</f>
        <v>0.75</v>
      </c>
      <c r="AA36" cm="1">
        <f t="array" ref="AA36">_xlfn.IFS(cleaned_data!AH36=0, 1,
cleaned_data!AH36=1, 0.75,
cleaned_data!AH36=2, 0.5,
cleaned_data!AH36&gt;=3, 0.25)</f>
        <v>0.25</v>
      </c>
      <c r="AB36" cm="1">
        <f t="array" ref="AB36">_xlfn.IFS(cleaned_data!AO36="", "",
cleaned_data!AO36&gt;=50, 1,
cleaned_data!AO36&gt;=30, 0.75,
cleaned_data!AO36&gt;=10, 0.5,
cleaned_data!AO36&lt;10, 0.25)</f>
        <v>1</v>
      </c>
      <c r="AC36" cm="1">
        <f t="array" ref="AC36">_xlfn.IFS(cleaned_data!AP36&gt;=50,1, cleaned_data!AP36&gt;=30,0.75, cleaned_data!AP36&gt;=10,0.5, cleaned_data!AP36&lt;10,0.25)</f>
        <v>0.5</v>
      </c>
      <c r="AD36" cm="1">
        <f t="array" ref="AD36">_xlfn.IFS(cleaned_data!AQ36&gt;=30,1,
cleaned_data!AQ36&gt;=20,0.75,
cleaned_data!AQ36&gt;=10,0.5,
cleaned_data!AQ36&lt;10,0.25)</f>
        <v>1</v>
      </c>
      <c r="AE36" cm="1">
        <f t="array" ref="AE36">_xlfn.IFS(cleaned_data!AR36&gt;=75,1,
cleaned_data!AR36&gt;=50,0.75,
cleaned_data!AR36&gt;=25,0.5,
cleaned_data!AR36&lt;25,0.25)</f>
        <v>1</v>
      </c>
      <c r="AF36">
        <f>IF(cleaned_data!AS36="Yes",1,0)</f>
        <v>0</v>
      </c>
    </row>
    <row r="37" spans="1:32" hidden="1" x14ac:dyDescent="0.35">
      <c r="A37" t="s">
        <v>310</v>
      </c>
      <c r="B37" t="s">
        <v>309</v>
      </c>
      <c r="C37">
        <f>IF(cleaned_data!K37="Registered",1,0)</f>
        <v>1</v>
      </c>
      <c r="D37">
        <f>IF(cleaned_data!L37="Yes",1,0)</f>
        <v>0</v>
      </c>
      <c r="E37">
        <f>IF(cleaned_data!M37="Yes",1,0)</f>
        <v>1</v>
      </c>
      <c r="F37">
        <f>IF(cleaned_data!O37="Unknown","",IF(cleaned_data!O37="Yes",1,0))</f>
        <v>1</v>
      </c>
      <c r="G37" cm="1">
        <f t="array" ref="G37">_xlfn.IFS(cleaned_data!N37="Owned",1,cleaned_data!N37="Leased",0.75,cleaned_data!N37="State land",0.5,cleaned_data!N37="Communal",0.25)</f>
        <v>1</v>
      </c>
      <c r="H37" s="2" cm="1">
        <f t="array" ref="H37">_xlfn.IFS(cleaned_data!G37&gt;=10,1,cleaned_data!G37&gt;=5,0.75,cleaned_data!G37&gt;=2,0.5,TRUE,0.25)</f>
        <v>1</v>
      </c>
      <c r="I37">
        <f>IF(cleaned_data!P37="None",0,1)</f>
        <v>1</v>
      </c>
      <c r="J37" s="2" cm="1">
        <f t="array" ref="J37">_xlfn.IFS(cleaned_data!H37&gt;=20,1,cleaned_data!H37&gt;=10,0.75,cleaned_data!H37&gt;=5,0.5,cleaned_data!H37&gt;=1,0.25,TRUE,0)</f>
        <v>1</v>
      </c>
      <c r="K37" cm="1">
        <f t="array" ref="K37">_xlfn.IFS(cleaned_data!Q37&gt;=100000,1,cleaned_data!Q37&gt;=50000,0.75,cleaned_data!Q37&gt;=10000,0.5,TRUE,0.25)</f>
        <v>0.75</v>
      </c>
      <c r="L37" cm="1">
        <f t="array" ref="L37">_xlfn.IFS(cleaned_data!T37="","",cleaned_data!T37&lt;=10,1,cleaned_data!T37&lt;=25,0.75,cleaned_data!T37&lt;=40,0.5, cleaned_data!T37&gt;40,0.25)</f>
        <v>0.75</v>
      </c>
      <c r="M37">
        <f>IF(cleaned_data!U37="Yes",1,0)</f>
        <v>1</v>
      </c>
      <c r="N37" cm="1">
        <f t="array" ref="N37">_xlfn.IFS(cleaned_data!V37="Unknown","",cleaned_data!V37="Yes",1,TRUE,0)</f>
        <v>1</v>
      </c>
      <c r="O37" cm="1">
        <f t="array" ref="O37">_xlfn.IFS(cleaned_data!S37&gt;=4,1,cleaned_data!S37=3,0.75,cleaned_data!S37=2,0.5,cleaned_data!S37=1,0.25,TRUE,0)</f>
        <v>1</v>
      </c>
      <c r="P37" cm="1">
        <f t="array" ref="P37">_xlfn.IFS(cleaned_data!AB37&gt;=50,1,cleaned_data!AB37&gt;=35,0.75,cleaned_data!AB37&gt;=20,0.5,TRUE,0.25)</f>
        <v>1</v>
      </c>
      <c r="Q37" cm="1">
        <f t="array" ref="Q37">_xlfn.IFS(cleaned_data!X37&gt;=5,1,cleaned_data!X37&gt;=3,0.75,cleaned_data!X37=2,0.5,cleaned_data!X37=1,0.25,TRUE,0)</f>
        <v>1</v>
      </c>
      <c r="R37">
        <f>IF(cleaned_data!Y37="Yes",1,0)</f>
        <v>1</v>
      </c>
      <c r="S37" t="str">
        <f>IF(OR(cleaned_data!AF37="GlobalG.A.P.",cleaned_data!AF37="Fairtrade",cleaned_data!AF37="Organic (CERES)"),1,
IF(OR(cleaned_data!AF37="SIZA",cleaned_data!AF37="Woolworths TNC",cleaned_data!AF37="Checkers Good Farming"),0.75,
IF(cleaned_data!AF37="No Certificate",0,
IF(cleaned_data!AF37="Unknown","",""))))</f>
        <v/>
      </c>
      <c r="T37">
        <f>IF(cleaned_data!AG37="Yes",1,0)</f>
        <v>0</v>
      </c>
      <c r="U37">
        <f>IF(OR(cleaned_data!AD37="No Loan",cleaned_data!AD37="Settled",cleaned_data!AD37="Current"),1,
IF(cleaned_data!AD37="In Arrears",0.5,
IF(cleaned_data!AD37="Defaulted",0,
IF(cleaned_data!AD37="Unknown","",""))))</f>
        <v>1</v>
      </c>
      <c r="V37" cm="1">
        <f t="array" ref="V37">_xlfn.IFS(cleaned_data!AE37&lt;=0.2,1,
cleaned_data!AE37&lt;=0.5,0.75,
cleaned_data!AE37&lt;=1,0.5,
cleaned_data!AE37&gt;1,0.25)</f>
        <v>1</v>
      </c>
      <c r="W37">
        <f>IF(cleaned_data!AJ37="Yes",1,0)</f>
        <v>1</v>
      </c>
      <c r="X37" s="2" t="str" cm="1">
        <f t="array" ref="X37">_xlfn.IFS(cleaned_data!AM37="Yes", 1,
cleaned_data!AM37="No", 0,
cleaned_data!AM37="Unknown", "")</f>
        <v/>
      </c>
      <c r="Y37" cm="1">
        <f t="array" ref="Y37">_xlfn.IFS(cleaned_data!AK37="Solar", 1,
cleaned_data!AK37="Generator", 0.75,
cleaned_data!AK37="Eskom grid", 0.5,
TRUE, "")</f>
        <v>0.5</v>
      </c>
      <c r="Z37" cm="1">
        <f t="array" ref="Z37">_xlfn.IFS(cleaned_data!AL37="", "",
cleaned_data!AL37&lt;=8, 1,
cleaned_data!AL37&lt;=14, 0.75,
cleaned_data!AL37&lt;=21, 0.5,
cleaned_data!AL37&gt;=22, 0.25)</f>
        <v>0.5</v>
      </c>
      <c r="AA37" cm="1">
        <f t="array" ref="AA37">_xlfn.IFS(cleaned_data!AH37=0, 1,
cleaned_data!AH37=1, 0.75,
cleaned_data!AH37=2, 0.5,
cleaned_data!AH37&gt;=3, 0.25)</f>
        <v>0.25</v>
      </c>
      <c r="AB37" cm="1">
        <f t="array" ref="AB37">_xlfn.IFS(cleaned_data!AO37="", "",
cleaned_data!AO37&gt;=50, 1,
cleaned_data!AO37&gt;=30, 0.75,
cleaned_data!AO37&gt;=10, 0.5,
cleaned_data!AO37&lt;10, 0.25)</f>
        <v>0.5</v>
      </c>
      <c r="AC37" cm="1">
        <f t="array" ref="AC37">_xlfn.IFS(cleaned_data!AP37&gt;=50,1, cleaned_data!AP37&gt;=30,0.75, cleaned_data!AP37&gt;=10,0.5, cleaned_data!AP37&lt;10,0.25)</f>
        <v>1</v>
      </c>
      <c r="AD37" cm="1">
        <f t="array" ref="AD37">_xlfn.IFS(cleaned_data!AQ37&gt;=30,1,
cleaned_data!AQ37&gt;=20,0.75,
cleaned_data!AQ37&gt;=10,0.5,
cleaned_data!AQ37&lt;10,0.25)</f>
        <v>1</v>
      </c>
      <c r="AE37" cm="1">
        <f t="array" ref="AE37">_xlfn.IFS(cleaned_data!AR37&gt;=75,1,
cleaned_data!AR37&gt;=50,0.75,
cleaned_data!AR37&gt;=25,0.5,
cleaned_data!AR37&lt;25,0.25)</f>
        <v>0.5</v>
      </c>
      <c r="AF37">
        <f>IF(cleaned_data!AS37="Yes",1,0)</f>
        <v>0</v>
      </c>
    </row>
    <row r="38" spans="1:32" x14ac:dyDescent="0.35">
      <c r="A38" t="s">
        <v>308</v>
      </c>
      <c r="B38" t="s">
        <v>307</v>
      </c>
      <c r="C38">
        <f>IF(cleaned_data!K38="Registered",1,0)</f>
        <v>1</v>
      </c>
      <c r="D38">
        <f>IF(cleaned_data!L38="Yes",1,0)</f>
        <v>1</v>
      </c>
      <c r="E38">
        <f>IF(cleaned_data!M38="Yes",1,0)</f>
        <v>1</v>
      </c>
      <c r="F38">
        <f>IF(cleaned_data!O38="Unknown","",IF(cleaned_data!O38="Yes",1,0))</f>
        <v>1</v>
      </c>
      <c r="G38" cm="1">
        <f t="array" ref="G38">_xlfn.IFS(cleaned_data!N38="Owned",1,cleaned_data!N38="Leased",0.75,cleaned_data!N38="State land",0.5,cleaned_data!N38="Communal",0.25)</f>
        <v>1</v>
      </c>
      <c r="H38" s="2" cm="1">
        <f t="array" ref="H38">_xlfn.IFS(cleaned_data!G38&gt;=10,1,cleaned_data!G38&gt;=5,0.75,cleaned_data!G38&gt;=2,0.5,TRUE,0.25)</f>
        <v>1</v>
      </c>
      <c r="I38">
        <f>IF(cleaned_data!P38="None",0,1)</f>
        <v>1</v>
      </c>
      <c r="J38" s="2" cm="1">
        <f t="array" ref="J38">_xlfn.IFS(cleaned_data!H38&gt;=20,1,cleaned_data!H38&gt;=10,0.75,cleaned_data!H38&gt;=5,0.5,cleaned_data!H38&gt;=1,0.25,TRUE,0)</f>
        <v>1</v>
      </c>
      <c r="K38" cm="1">
        <f t="array" ref="K38">_xlfn.IFS(cleaned_data!Q38&gt;=100000,1,cleaned_data!Q38&gt;=50000,0.75,cleaned_data!Q38&gt;=10000,0.5,TRUE,0.25)</f>
        <v>1</v>
      </c>
      <c r="L38" cm="1">
        <f t="array" ref="L38">_xlfn.IFS(cleaned_data!T38="","",cleaned_data!T38&lt;=10,1,cleaned_data!T38&lt;=25,0.75,cleaned_data!T38&lt;=40,0.5, cleaned_data!T38&gt;40,0.25)</f>
        <v>0.75</v>
      </c>
      <c r="M38">
        <f>IF(cleaned_data!U38="Yes",1,0)</f>
        <v>1</v>
      </c>
      <c r="N38" cm="1">
        <f t="array" ref="N38">_xlfn.IFS(cleaned_data!V38="Unknown","",cleaned_data!V38="Yes",1,TRUE,0)</f>
        <v>1</v>
      </c>
      <c r="O38" cm="1">
        <f t="array" ref="O38">_xlfn.IFS(cleaned_data!S38&gt;=4,1,cleaned_data!S38=3,0.75,cleaned_data!S38=2,0.5,cleaned_data!S38=1,0.25,TRUE,0)</f>
        <v>1</v>
      </c>
      <c r="P38" cm="1">
        <f t="array" ref="P38">_xlfn.IFS(cleaned_data!AB38&gt;=50,1,cleaned_data!AB38&gt;=35,0.75,cleaned_data!AB38&gt;=20,0.5,TRUE,0.25)</f>
        <v>0.5</v>
      </c>
      <c r="Q38" cm="1">
        <f t="array" ref="Q38">_xlfn.IFS(cleaned_data!X38&gt;=5,1,cleaned_data!X38&gt;=3,0.75,cleaned_data!X38=2,0.5,cleaned_data!X38=1,0.25,TRUE,0)</f>
        <v>1</v>
      </c>
      <c r="R38">
        <f>IF(cleaned_data!Y38="Yes",1,0)</f>
        <v>1</v>
      </c>
      <c r="S38">
        <f>IF(OR(cleaned_data!AF38="GlobalG.A.P.",cleaned_data!AF38="Fairtrade",cleaned_data!AF38="Organic (CERES)"),1,
IF(OR(cleaned_data!AF38="SIZA",cleaned_data!AF38="Woolworths TNC",cleaned_data!AF38="Checkers Good Farming"),0.75,
IF(cleaned_data!AF38="No Certificate",0,
IF(cleaned_data!AF38="Unknown","",""))))</f>
        <v>0.75</v>
      </c>
      <c r="T38">
        <f>IF(cleaned_data!AG38="Yes",1,0)</f>
        <v>1</v>
      </c>
      <c r="U38">
        <f>IF(OR(cleaned_data!AD38="No Loan",cleaned_data!AD38="Settled",cleaned_data!AD38="Current"),1,
IF(cleaned_data!AD38="In Arrears",0.5,
IF(cleaned_data!AD38="Defaulted",0,
IF(cleaned_data!AD38="Unknown","",""))))</f>
        <v>1</v>
      </c>
      <c r="V38" cm="1">
        <f t="array" ref="V38">_xlfn.IFS(cleaned_data!AE38&lt;=0.2,1,
cleaned_data!AE38&lt;=0.5,0.75,
cleaned_data!AE38&lt;=1,0.5,
cleaned_data!AE38&gt;1,0.25)</f>
        <v>0.75</v>
      </c>
      <c r="W38">
        <f>IF(cleaned_data!AJ38="Yes",1,0)</f>
        <v>1</v>
      </c>
      <c r="X38" s="2" t="str" cm="1">
        <f t="array" ref="X38">_xlfn.IFS(cleaned_data!AM38="Yes", 1,
cleaned_data!AM38="No", 0,
cleaned_data!AM38="Unknown", "")</f>
        <v/>
      </c>
      <c r="Y38" cm="1">
        <f t="array" ref="Y38">_xlfn.IFS(cleaned_data!AK38="Solar", 1,
cleaned_data!AK38="Generator", 0.75,
cleaned_data!AK38="Eskom grid", 0.5,
TRUE, "")</f>
        <v>1</v>
      </c>
      <c r="Z38" cm="1">
        <f t="array" ref="Z38">_xlfn.IFS(cleaned_data!AL38="", "",
cleaned_data!AL38&lt;=8, 1,
cleaned_data!AL38&lt;=14, 0.75,
cleaned_data!AL38&lt;=21, 0.5,
cleaned_data!AL38&gt;=22, 0.25)</f>
        <v>1</v>
      </c>
      <c r="AA38" cm="1">
        <f t="array" ref="AA38">_xlfn.IFS(cleaned_data!AH38=0, 1,
cleaned_data!AH38=1, 0.75,
cleaned_data!AH38=2, 0.5,
cleaned_data!AH38&gt;=3, 0.25)</f>
        <v>1</v>
      </c>
      <c r="AB38" cm="1">
        <f t="array" ref="AB38">_xlfn.IFS(cleaned_data!AO38="", "",
cleaned_data!AO38&gt;=50, 1,
cleaned_data!AO38&gt;=30, 0.75,
cleaned_data!AO38&gt;=10, 0.5,
cleaned_data!AO38&lt;10, 0.25)</f>
        <v>1</v>
      </c>
      <c r="AC38" cm="1">
        <f t="array" ref="AC38">_xlfn.IFS(cleaned_data!AP38&gt;=50,1, cleaned_data!AP38&gt;=30,0.75, cleaned_data!AP38&gt;=10,0.5, cleaned_data!AP38&lt;10,0.25)</f>
        <v>0.75</v>
      </c>
      <c r="AD38" cm="1">
        <f t="array" ref="AD38">_xlfn.IFS(cleaned_data!AQ38&gt;=30,1,
cleaned_data!AQ38&gt;=20,0.75,
cleaned_data!AQ38&gt;=10,0.5,
cleaned_data!AQ38&lt;10,0.25)</f>
        <v>0.5</v>
      </c>
      <c r="AE38" cm="1">
        <f t="array" ref="AE38">_xlfn.IFS(cleaned_data!AR38&gt;=75,1,
cleaned_data!AR38&gt;=50,0.75,
cleaned_data!AR38&gt;=25,0.5,
cleaned_data!AR38&lt;25,0.25)</f>
        <v>0.5</v>
      </c>
      <c r="AF38">
        <f>IF(cleaned_data!AS38="Yes",1,0)</f>
        <v>0</v>
      </c>
    </row>
    <row r="39" spans="1:32" hidden="1" x14ac:dyDescent="0.35">
      <c r="A39" t="s">
        <v>306</v>
      </c>
      <c r="B39" t="s">
        <v>88</v>
      </c>
      <c r="C39">
        <f>IF(cleaned_data!K39="Registered",1,0)</f>
        <v>1</v>
      </c>
      <c r="D39">
        <f>IF(cleaned_data!L39="Yes",1,0)</f>
        <v>1</v>
      </c>
      <c r="E39">
        <f>IF(cleaned_data!M39="Yes",1,0)</f>
        <v>1</v>
      </c>
      <c r="F39">
        <f>IF(cleaned_data!O39="Unknown","",IF(cleaned_data!O39="Yes",1,0))</f>
        <v>1</v>
      </c>
      <c r="G39" cm="1">
        <f t="array" ref="G39">_xlfn.IFS(cleaned_data!N39="Owned",1,cleaned_data!N39="Leased",0.75,cleaned_data!N39="State land",0.5,cleaned_data!N39="Communal",0.25)</f>
        <v>1</v>
      </c>
      <c r="H39" s="2" cm="1">
        <f t="array" ref="H39">_xlfn.IFS(cleaned_data!G39&gt;=10,1,cleaned_data!G39&gt;=5,0.75,cleaned_data!G39&gt;=2,0.5,TRUE,0.25)</f>
        <v>0.75</v>
      </c>
      <c r="I39">
        <f>IF(cleaned_data!P39="None",0,1)</f>
        <v>1</v>
      </c>
      <c r="J39" s="2" cm="1">
        <f t="array" ref="J39">_xlfn.IFS(cleaned_data!H39&gt;=20,1,cleaned_data!H39&gt;=10,0.75,cleaned_data!H39&gt;=5,0.5,cleaned_data!H39&gt;=1,0.25,TRUE,0)</f>
        <v>0.75</v>
      </c>
      <c r="K39" cm="1">
        <f t="array" ref="K39">_xlfn.IFS(cleaned_data!Q39&gt;=100000,1,cleaned_data!Q39&gt;=50000,0.75,cleaned_data!Q39&gt;=10000,0.5,TRUE,0.25)</f>
        <v>1</v>
      </c>
      <c r="L39" cm="1">
        <f t="array" ref="L39">_xlfn.IFS(cleaned_data!T39="","",cleaned_data!T39&lt;=10,1,cleaned_data!T39&lt;=25,0.75,cleaned_data!T39&lt;=40,0.5, cleaned_data!T39&gt;40,0.25)</f>
        <v>1</v>
      </c>
      <c r="M39">
        <f>IF(cleaned_data!U39="Yes",1,0)</f>
        <v>1</v>
      </c>
      <c r="N39" t="str" cm="1">
        <f t="array" ref="N39">_xlfn.IFS(cleaned_data!V39="Unknown","",cleaned_data!V39="Yes",1,TRUE,0)</f>
        <v/>
      </c>
      <c r="O39" cm="1">
        <f t="array" ref="O39">_xlfn.IFS(cleaned_data!S39&gt;=4,1,cleaned_data!S39=3,0.75,cleaned_data!S39=2,0.5,cleaned_data!S39=1,0.25,TRUE,0)</f>
        <v>0.75</v>
      </c>
      <c r="P39" cm="1">
        <f t="array" ref="P39">_xlfn.IFS(cleaned_data!AB39&gt;=50,1,cleaned_data!AB39&gt;=35,0.75,cleaned_data!AB39&gt;=20,0.5,TRUE,0.25)</f>
        <v>0.5</v>
      </c>
      <c r="Q39" cm="1">
        <f t="array" ref="Q39">_xlfn.IFS(cleaned_data!X39&gt;=5,1,cleaned_data!X39&gt;=3,0.75,cleaned_data!X39=2,0.5,cleaned_data!X39=1,0.25,TRUE,0)</f>
        <v>1</v>
      </c>
      <c r="R39">
        <f>IF(cleaned_data!Y39="Yes",1,0)</f>
        <v>0</v>
      </c>
      <c r="S39">
        <f>IF(OR(cleaned_data!AF39="GlobalG.A.P.",cleaned_data!AF39="Fairtrade",cleaned_data!AF39="Organic (CERES)"),1,
IF(OR(cleaned_data!AF39="SIZA",cleaned_data!AF39="Woolworths TNC",cleaned_data!AF39="Checkers Good Farming"),0.75,
IF(cleaned_data!AF39="No Certificate",0,
IF(cleaned_data!AF39="Unknown","",""))))</f>
        <v>0.75</v>
      </c>
      <c r="T39">
        <f>IF(cleaned_data!AG39="Yes",1,0)</f>
        <v>1</v>
      </c>
      <c r="U39">
        <f>IF(OR(cleaned_data!AD39="No Loan",cleaned_data!AD39="Settled",cleaned_data!AD39="Current"),1,
IF(cleaned_data!AD39="In Arrears",0.5,
IF(cleaned_data!AD39="Defaulted",0,
IF(cleaned_data!AD39="Unknown","",""))))</f>
        <v>1</v>
      </c>
      <c r="V39" cm="1">
        <f t="array" ref="V39">_xlfn.IFS(cleaned_data!AE39&lt;=0.2,1,
cleaned_data!AE39&lt;=0.5,0.75,
cleaned_data!AE39&lt;=1,0.5,
cleaned_data!AE39&gt;1,0.25)</f>
        <v>1</v>
      </c>
      <c r="W39">
        <f>IF(cleaned_data!AJ39="Yes",1,0)</f>
        <v>1</v>
      </c>
      <c r="X39" s="2" cm="1">
        <f t="array" ref="X39">_xlfn.IFS(cleaned_data!AM39="Yes", 1,
cleaned_data!AM39="No", 0,
cleaned_data!AM39="Unknown", "")</f>
        <v>1</v>
      </c>
      <c r="Y39" cm="1">
        <f t="array" ref="Y39">_xlfn.IFS(cleaned_data!AK39="Solar", 1,
cleaned_data!AK39="Generator", 0.75,
cleaned_data!AK39="Eskom grid", 0.5,
TRUE, "")</f>
        <v>0.75</v>
      </c>
      <c r="Z39" cm="1">
        <f t="array" ref="Z39">_xlfn.IFS(cleaned_data!AL39="", "",
cleaned_data!AL39&lt;=8, 1,
cleaned_data!AL39&lt;=14, 0.75,
cleaned_data!AL39&lt;=21, 0.5,
cleaned_data!AL39&gt;=22, 0.25)</f>
        <v>1</v>
      </c>
      <c r="AA39" cm="1">
        <f t="array" ref="AA39">_xlfn.IFS(cleaned_data!AH39=0, 1,
cleaned_data!AH39=1, 0.75,
cleaned_data!AH39=2, 0.5,
cleaned_data!AH39&gt;=3, 0.25)</f>
        <v>0.25</v>
      </c>
      <c r="AB39" cm="1">
        <f t="array" ref="AB39">_xlfn.IFS(cleaned_data!AO39="", "",
cleaned_data!AO39&gt;=50, 1,
cleaned_data!AO39&gt;=30, 0.75,
cleaned_data!AO39&gt;=10, 0.5,
cleaned_data!AO39&lt;10, 0.25)</f>
        <v>0.75</v>
      </c>
      <c r="AC39" cm="1">
        <f t="array" ref="AC39">_xlfn.IFS(cleaned_data!AP39&gt;=50,1, cleaned_data!AP39&gt;=30,0.75, cleaned_data!AP39&gt;=10,0.5, cleaned_data!AP39&lt;10,0.25)</f>
        <v>0.75</v>
      </c>
      <c r="AD39" cm="1">
        <f t="array" ref="AD39">_xlfn.IFS(cleaned_data!AQ39&gt;=30,1,
cleaned_data!AQ39&gt;=20,0.75,
cleaned_data!AQ39&gt;=10,0.5,
cleaned_data!AQ39&lt;10,0.25)</f>
        <v>0.75</v>
      </c>
      <c r="AE39" cm="1">
        <f t="array" ref="AE39">_xlfn.IFS(cleaned_data!AR39&gt;=75,1,
cleaned_data!AR39&gt;=50,0.75,
cleaned_data!AR39&gt;=25,0.5,
cleaned_data!AR39&lt;25,0.25)</f>
        <v>1</v>
      </c>
      <c r="AF39">
        <f>IF(cleaned_data!AS39="Yes",1,0)</f>
        <v>1</v>
      </c>
    </row>
    <row r="40" spans="1:32" x14ac:dyDescent="0.35">
      <c r="A40" t="s">
        <v>305</v>
      </c>
      <c r="B40" t="s">
        <v>230</v>
      </c>
      <c r="C40">
        <f>IF(cleaned_data!K40="Registered",1,0)</f>
        <v>0</v>
      </c>
      <c r="D40">
        <f>IF(cleaned_data!L40="Yes",1,0)</f>
        <v>1</v>
      </c>
      <c r="E40">
        <f>IF(cleaned_data!M40="Yes",1,0)</f>
        <v>0</v>
      </c>
      <c r="F40">
        <f>IF(cleaned_data!O40="Unknown","",IF(cleaned_data!O40="Yes",1,0))</f>
        <v>0</v>
      </c>
      <c r="G40" cm="1">
        <f t="array" ref="G40">_xlfn.IFS(cleaned_data!N40="Owned",1,cleaned_data!N40="Leased",0.75,cleaned_data!N40="State land",0.5,cleaned_data!N40="Communal",0.25)</f>
        <v>1</v>
      </c>
      <c r="H40" s="2" cm="1">
        <f t="array" ref="H40">_xlfn.IFS(cleaned_data!G40&gt;=10,1,cleaned_data!G40&gt;=5,0.75,cleaned_data!G40&gt;=2,0.5,TRUE,0.25)</f>
        <v>1</v>
      </c>
      <c r="I40">
        <f>IF(cleaned_data!P40="None",0,1)</f>
        <v>1</v>
      </c>
      <c r="J40" s="2" cm="1">
        <f t="array" ref="J40">_xlfn.IFS(cleaned_data!H40&gt;=20,1,cleaned_data!H40&gt;=10,0.75,cleaned_data!H40&gt;=5,0.5,cleaned_data!H40&gt;=1,0.25,TRUE,0)</f>
        <v>1</v>
      </c>
      <c r="K40" cm="1">
        <f t="array" ref="K40">_xlfn.IFS(cleaned_data!Q40&gt;=100000,1,cleaned_data!Q40&gt;=50000,0.75,cleaned_data!Q40&gt;=10000,0.5,TRUE,0.25)</f>
        <v>1</v>
      </c>
      <c r="L40" cm="1">
        <f t="array" ref="L40">_xlfn.IFS(cleaned_data!T40="","",cleaned_data!T40&lt;=10,1,cleaned_data!T40&lt;=25,0.75,cleaned_data!T40&lt;=40,0.5, cleaned_data!T40&gt;40,0.25)</f>
        <v>1</v>
      </c>
      <c r="M40">
        <f>IF(cleaned_data!U40="Yes",1,0)</f>
        <v>1</v>
      </c>
      <c r="N40" cm="1">
        <f t="array" ref="N40">_xlfn.IFS(cleaned_data!V40="Unknown","",cleaned_data!V40="Yes",1,TRUE,0)</f>
        <v>1</v>
      </c>
      <c r="O40" cm="1">
        <f t="array" ref="O40">_xlfn.IFS(cleaned_data!S40&gt;=4,1,cleaned_data!S40=3,0.75,cleaned_data!S40=2,0.5,cleaned_data!S40=1,0.25,TRUE,0)</f>
        <v>0.25</v>
      </c>
      <c r="P40" cm="1">
        <f t="array" ref="P40">_xlfn.IFS(cleaned_data!AB40&gt;=50,1,cleaned_data!AB40&gt;=35,0.75,cleaned_data!AB40&gt;=20,0.5,TRUE,0.25)</f>
        <v>1</v>
      </c>
      <c r="Q40" cm="1">
        <f t="array" ref="Q40">_xlfn.IFS(cleaned_data!X40&gt;=5,1,cleaned_data!X40&gt;=3,0.75,cleaned_data!X40=2,0.5,cleaned_data!X40=1,0.25,TRUE,0)</f>
        <v>1</v>
      </c>
      <c r="R40">
        <f>IF(cleaned_data!Y40="Yes",1,0)</f>
        <v>1</v>
      </c>
      <c r="S40">
        <f>IF(OR(cleaned_data!AF40="GlobalG.A.P.",cleaned_data!AF40="Fairtrade",cleaned_data!AF40="Organic (CERES)"),1,
IF(OR(cleaned_data!AF40="SIZA",cleaned_data!AF40="Woolworths TNC",cleaned_data!AF40="Checkers Good Farming"),0.75,
IF(cleaned_data!AF40="No Certificate",0,
IF(cleaned_data!AF40="Unknown","",""))))</f>
        <v>1</v>
      </c>
      <c r="T40">
        <f>IF(cleaned_data!AG40="Yes",1,0)</f>
        <v>1</v>
      </c>
      <c r="U40">
        <f>IF(OR(cleaned_data!AD40="No Loan",cleaned_data!AD40="Settled",cleaned_data!AD40="Current"),1,
IF(cleaned_data!AD40="In Arrears",0.5,
IF(cleaned_data!AD40="Defaulted",0,
IF(cleaned_data!AD40="Unknown","",""))))</f>
        <v>1</v>
      </c>
      <c r="V40" cm="1">
        <f t="array" ref="V40">_xlfn.IFS(cleaned_data!AE40&lt;=0.2,1,
cleaned_data!AE40&lt;=0.5,0.75,
cleaned_data!AE40&lt;=1,0.5,
cleaned_data!AE40&gt;1,0.25)</f>
        <v>1</v>
      </c>
      <c r="W40">
        <f>IF(cleaned_data!AJ40="Yes",1,0)</f>
        <v>1</v>
      </c>
      <c r="X40" s="2" cm="1">
        <f t="array" ref="X40">_xlfn.IFS(cleaned_data!AM40="Yes", 1,
cleaned_data!AM40="No", 0,
cleaned_data!AM40="Unknown", "")</f>
        <v>1</v>
      </c>
      <c r="Y40" cm="1">
        <f t="array" ref="Y40">_xlfn.IFS(cleaned_data!AK40="Solar", 1,
cleaned_data!AK40="Generator", 0.75,
cleaned_data!AK40="Eskom grid", 0.5,
TRUE, "")</f>
        <v>1</v>
      </c>
      <c r="Z40" cm="1">
        <f t="array" ref="Z40">_xlfn.IFS(cleaned_data!AL40="", "",
cleaned_data!AL40&lt;=8, 1,
cleaned_data!AL40&lt;=14, 0.75,
cleaned_data!AL40&lt;=21, 0.5,
cleaned_data!AL40&gt;=22, 0.25)</f>
        <v>1</v>
      </c>
      <c r="AA40" cm="1">
        <f t="array" ref="AA40">_xlfn.IFS(cleaned_data!AH40=0, 1,
cleaned_data!AH40=1, 0.75,
cleaned_data!AH40=2, 0.5,
cleaned_data!AH40&gt;=3, 0.25)</f>
        <v>0.25</v>
      </c>
      <c r="AB40" cm="1">
        <f t="array" ref="AB40">_xlfn.IFS(cleaned_data!AO40="", "",
cleaned_data!AO40&gt;=50, 1,
cleaned_data!AO40&gt;=30, 0.75,
cleaned_data!AO40&gt;=10, 0.5,
cleaned_data!AO40&lt;10, 0.25)</f>
        <v>1</v>
      </c>
      <c r="AC40" cm="1">
        <f t="array" ref="AC40">_xlfn.IFS(cleaned_data!AP40&gt;=50,1, cleaned_data!AP40&gt;=30,0.75, cleaned_data!AP40&gt;=10,0.5, cleaned_data!AP40&lt;10,0.25)</f>
        <v>0.5</v>
      </c>
      <c r="AD40" cm="1">
        <f t="array" ref="AD40">_xlfn.IFS(cleaned_data!AQ40&gt;=30,1,
cleaned_data!AQ40&gt;=20,0.75,
cleaned_data!AQ40&gt;=10,0.5,
cleaned_data!AQ40&lt;10,0.25)</f>
        <v>0.5</v>
      </c>
      <c r="AE40" cm="1">
        <f t="array" ref="AE40">_xlfn.IFS(cleaned_data!AR40&gt;=75,1,
cleaned_data!AR40&gt;=50,0.75,
cleaned_data!AR40&gt;=25,0.5,
cleaned_data!AR40&lt;25,0.25)</f>
        <v>1</v>
      </c>
      <c r="AF40">
        <f>IF(cleaned_data!AS40="Yes",1,0)</f>
        <v>0</v>
      </c>
    </row>
    <row r="41" spans="1:32" x14ac:dyDescent="0.35">
      <c r="A41" t="s">
        <v>304</v>
      </c>
      <c r="B41" t="s">
        <v>303</v>
      </c>
      <c r="C41">
        <f>IF(cleaned_data!K41="Registered",1,0)</f>
        <v>0</v>
      </c>
      <c r="D41">
        <f>IF(cleaned_data!L41="Yes",1,0)</f>
        <v>1</v>
      </c>
      <c r="E41">
        <f>IF(cleaned_data!M41="Yes",1,0)</f>
        <v>0</v>
      </c>
      <c r="F41">
        <f>IF(cleaned_data!O41="Unknown","",IF(cleaned_data!O41="Yes",1,0))</f>
        <v>0</v>
      </c>
      <c r="G41" cm="1">
        <f t="array" ref="G41">_xlfn.IFS(cleaned_data!N41="Owned",1,cleaned_data!N41="Leased",0.75,cleaned_data!N41="State land",0.5,cleaned_data!N41="Communal",0.25)</f>
        <v>1</v>
      </c>
      <c r="H41" s="2" cm="1">
        <f t="array" ref="H41">_xlfn.IFS(cleaned_data!G41&gt;=10,1,cleaned_data!G41&gt;=5,0.75,cleaned_data!G41&gt;=2,0.5,TRUE,0.25)</f>
        <v>0.75</v>
      </c>
      <c r="I41">
        <f>IF(cleaned_data!P41="None",0,1)</f>
        <v>0</v>
      </c>
      <c r="J41" s="2" cm="1">
        <f t="array" ref="J41">_xlfn.IFS(cleaned_data!H41&gt;=20,1,cleaned_data!H41&gt;=10,0.75,cleaned_data!H41&gt;=5,0.5,cleaned_data!H41&gt;=1,0.25,TRUE,0)</f>
        <v>1</v>
      </c>
      <c r="K41" cm="1">
        <f t="array" ref="K41">_xlfn.IFS(cleaned_data!Q41&gt;=100000,1,cleaned_data!Q41&gt;=50000,0.75,cleaned_data!Q41&gt;=10000,0.5,TRUE,0.25)</f>
        <v>1</v>
      </c>
      <c r="L41" cm="1">
        <f t="array" ref="L41">_xlfn.IFS(cleaned_data!T41="","",cleaned_data!T41&lt;=10,1,cleaned_data!T41&lt;=25,0.75,cleaned_data!T41&lt;=40,0.5, cleaned_data!T41&gt;40,0.25)</f>
        <v>0.75</v>
      </c>
      <c r="M41">
        <f>IF(cleaned_data!U41="Yes",1,0)</f>
        <v>1</v>
      </c>
      <c r="N41" cm="1">
        <f t="array" ref="N41">_xlfn.IFS(cleaned_data!V41="Unknown","",cleaned_data!V41="Yes",1,TRUE,0)</f>
        <v>1</v>
      </c>
      <c r="O41" cm="1">
        <f t="array" ref="O41">_xlfn.IFS(cleaned_data!S41&gt;=4,1,cleaned_data!S41=3,0.75,cleaned_data!S41=2,0.5,cleaned_data!S41=1,0.25,TRUE,0)</f>
        <v>0.75</v>
      </c>
      <c r="P41" cm="1">
        <f t="array" ref="P41">_xlfn.IFS(cleaned_data!AB41&gt;=50,1,cleaned_data!AB41&gt;=35,0.75,cleaned_data!AB41&gt;=20,0.5,TRUE,0.25)</f>
        <v>0.5</v>
      </c>
      <c r="Q41" cm="1">
        <f t="array" ref="Q41">_xlfn.IFS(cleaned_data!X41&gt;=5,1,cleaned_data!X41&gt;=3,0.75,cleaned_data!X41=2,0.5,cleaned_data!X41=1,0.25,TRUE,0)</f>
        <v>1</v>
      </c>
      <c r="R41">
        <f>IF(cleaned_data!Y41="Yes",1,0)</f>
        <v>0</v>
      </c>
      <c r="S41">
        <f>IF(OR(cleaned_data!AF41="GlobalG.A.P.",cleaned_data!AF41="Fairtrade",cleaned_data!AF41="Organic (CERES)"),1,
IF(OR(cleaned_data!AF41="SIZA",cleaned_data!AF41="Woolworths TNC",cleaned_data!AF41="Checkers Good Farming"),0.75,
IF(cleaned_data!AF41="No Certificate",0,
IF(cleaned_data!AF41="Unknown","",""))))</f>
        <v>1</v>
      </c>
      <c r="T41">
        <f>IF(cleaned_data!AG41="Yes",1,0)</f>
        <v>0</v>
      </c>
      <c r="U41">
        <f>IF(OR(cleaned_data!AD41="No Loan",cleaned_data!AD41="Settled",cleaned_data!AD41="Current"),1,
IF(cleaned_data!AD41="In Arrears",0.5,
IF(cleaned_data!AD41="Defaulted",0,
IF(cleaned_data!AD41="Unknown","",""))))</f>
        <v>1</v>
      </c>
      <c r="V41" cm="1">
        <f t="array" ref="V41">_xlfn.IFS(cleaned_data!AE41&lt;=0.2,1,
cleaned_data!AE41&lt;=0.5,0.75,
cleaned_data!AE41&lt;=1,0.5,
cleaned_data!AE41&gt;1,0.25)</f>
        <v>1</v>
      </c>
      <c r="W41">
        <f>IF(cleaned_data!AJ41="Yes",1,0)</f>
        <v>1</v>
      </c>
      <c r="X41" s="2" cm="1">
        <f t="array" ref="X41">_xlfn.IFS(cleaned_data!AM41="Yes", 1,
cleaned_data!AM41="No", 0,
cleaned_data!AM41="Unknown", "")</f>
        <v>1</v>
      </c>
      <c r="Y41" cm="1">
        <f t="array" ref="Y41">_xlfn.IFS(cleaned_data!AK41="Solar", 1,
cleaned_data!AK41="Generator", 0.75,
cleaned_data!AK41="Eskom grid", 0.5,
TRUE, "")</f>
        <v>0.5</v>
      </c>
      <c r="Z41" cm="1">
        <f t="array" ref="Z41">_xlfn.IFS(cleaned_data!AL41="", "",
cleaned_data!AL41&lt;=8, 1,
cleaned_data!AL41&lt;=14, 0.75,
cleaned_data!AL41&lt;=21, 0.5,
cleaned_data!AL41&gt;=22, 0.25)</f>
        <v>0.75</v>
      </c>
      <c r="AA41" cm="1">
        <f t="array" ref="AA41">_xlfn.IFS(cleaned_data!AH41=0, 1,
cleaned_data!AH41=1, 0.75,
cleaned_data!AH41=2, 0.5,
cleaned_data!AH41&gt;=3, 0.25)</f>
        <v>0.75</v>
      </c>
      <c r="AB41" cm="1">
        <f t="array" ref="AB41">_xlfn.IFS(cleaned_data!AO41="", "",
cleaned_data!AO41&gt;=50, 1,
cleaned_data!AO41&gt;=30, 0.75,
cleaned_data!AO41&gt;=10, 0.5,
cleaned_data!AO41&lt;10, 0.25)</f>
        <v>1</v>
      </c>
      <c r="AC41" cm="1">
        <f t="array" ref="AC41">_xlfn.IFS(cleaned_data!AP41&gt;=50,1, cleaned_data!AP41&gt;=30,0.75, cleaned_data!AP41&gt;=10,0.5, cleaned_data!AP41&lt;10,0.25)</f>
        <v>0.5</v>
      </c>
      <c r="AD41" cm="1">
        <f t="array" ref="AD41">_xlfn.IFS(cleaned_data!AQ41&gt;=30,1,
cleaned_data!AQ41&gt;=20,0.75,
cleaned_data!AQ41&gt;=10,0.5,
cleaned_data!AQ41&lt;10,0.25)</f>
        <v>0.5</v>
      </c>
      <c r="AE41" cm="1">
        <f t="array" ref="AE41">_xlfn.IFS(cleaned_data!AR41&gt;=75,1,
cleaned_data!AR41&gt;=50,0.75,
cleaned_data!AR41&gt;=25,0.5,
cleaned_data!AR41&lt;25,0.25)</f>
        <v>1</v>
      </c>
      <c r="AF41">
        <f>IF(cleaned_data!AS41="Yes",1,0)</f>
        <v>0</v>
      </c>
    </row>
    <row r="42" spans="1:32" x14ac:dyDescent="0.35">
      <c r="A42" t="s">
        <v>302</v>
      </c>
      <c r="B42" t="s">
        <v>301</v>
      </c>
      <c r="C42">
        <f>IF(cleaned_data!K42="Registered",1,0)</f>
        <v>1</v>
      </c>
      <c r="D42">
        <f>IF(cleaned_data!L42="Yes",1,0)</f>
        <v>1</v>
      </c>
      <c r="E42">
        <f>IF(cleaned_data!M42="Yes",1,0)</f>
        <v>1</v>
      </c>
      <c r="F42">
        <f>IF(cleaned_data!O42="Unknown","",IF(cleaned_data!O42="Yes",1,0))</f>
        <v>1</v>
      </c>
      <c r="G42" cm="1">
        <f t="array" ref="G42">_xlfn.IFS(cleaned_data!N42="Owned",1,cleaned_data!N42="Leased",0.75,cleaned_data!N42="State land",0.5,cleaned_data!N42="Communal",0.25)</f>
        <v>0.75</v>
      </c>
      <c r="H42" s="2" cm="1">
        <f t="array" ref="H42">_xlfn.IFS(cleaned_data!G42&gt;=10,1,cleaned_data!G42&gt;=5,0.75,cleaned_data!G42&gt;=2,0.5,TRUE,0.25)</f>
        <v>1</v>
      </c>
      <c r="I42">
        <f>IF(cleaned_data!P42="None",0,1)</f>
        <v>1</v>
      </c>
      <c r="J42" s="2" cm="1">
        <f t="array" ref="J42">_xlfn.IFS(cleaned_data!H42&gt;=20,1,cleaned_data!H42&gt;=10,0.75,cleaned_data!H42&gt;=5,0.5,cleaned_data!H42&gt;=1,0.25,TRUE,0)</f>
        <v>1</v>
      </c>
      <c r="K42" cm="1">
        <f t="array" ref="K42">_xlfn.IFS(cleaned_data!Q42&gt;=100000,1,cleaned_data!Q42&gt;=50000,0.75,cleaned_data!Q42&gt;=10000,0.5,TRUE,0.25)</f>
        <v>1</v>
      </c>
      <c r="L42" cm="1">
        <f t="array" ref="L42">_xlfn.IFS(cleaned_data!T42="","",cleaned_data!T42&lt;=10,1,cleaned_data!T42&lt;=25,0.75,cleaned_data!T42&lt;=40,0.5, cleaned_data!T42&gt;40,0.25)</f>
        <v>1</v>
      </c>
      <c r="M42">
        <f>IF(cleaned_data!U42="Yes",1,0)</f>
        <v>1</v>
      </c>
      <c r="N42" cm="1">
        <f t="array" ref="N42">_xlfn.IFS(cleaned_data!V42="Unknown","",cleaned_data!V42="Yes",1,TRUE,0)</f>
        <v>1</v>
      </c>
      <c r="O42" cm="1">
        <f t="array" ref="O42">_xlfn.IFS(cleaned_data!S42&gt;=4,1,cleaned_data!S42=3,0.75,cleaned_data!S42=2,0.5,cleaned_data!S42=1,0.25,TRUE,0)</f>
        <v>0.75</v>
      </c>
      <c r="P42" cm="1">
        <f t="array" ref="P42">_xlfn.IFS(cleaned_data!AB42&gt;=50,1,cleaned_data!AB42&gt;=35,0.75,cleaned_data!AB42&gt;=20,0.5,TRUE,0.25)</f>
        <v>1</v>
      </c>
      <c r="Q42" cm="1">
        <f t="array" ref="Q42">_xlfn.IFS(cleaned_data!X42&gt;=5,1,cleaned_data!X42&gt;=3,0.75,cleaned_data!X42=2,0.5,cleaned_data!X42=1,0.25,TRUE,0)</f>
        <v>1</v>
      </c>
      <c r="R42">
        <f>IF(cleaned_data!Y42="Yes",1,0)</f>
        <v>0</v>
      </c>
      <c r="S42">
        <f>IF(OR(cleaned_data!AF42="GlobalG.A.P.",cleaned_data!AF42="Fairtrade",cleaned_data!AF42="Organic (CERES)"),1,
IF(OR(cleaned_data!AF42="SIZA",cleaned_data!AF42="Woolworths TNC",cleaned_data!AF42="Checkers Good Farming"),0.75,
IF(cleaned_data!AF42="No Certificate",0,
IF(cleaned_data!AF42="Unknown","",""))))</f>
        <v>0.75</v>
      </c>
      <c r="T42">
        <f>IF(cleaned_data!AG42="Yes",1,0)</f>
        <v>1</v>
      </c>
      <c r="U42">
        <f>IF(OR(cleaned_data!AD42="No Loan",cleaned_data!AD42="Settled",cleaned_data!AD42="Current"),1,
IF(cleaned_data!AD42="In Arrears",0.5,
IF(cleaned_data!AD42="Defaulted",0,
IF(cleaned_data!AD42="Unknown","",""))))</f>
        <v>1</v>
      </c>
      <c r="V42" cm="1">
        <f t="array" ref="V42">_xlfn.IFS(cleaned_data!AE42&lt;=0.2,1,
cleaned_data!AE42&lt;=0.5,0.75,
cleaned_data!AE42&lt;=1,0.5,
cleaned_data!AE42&gt;1,0.25)</f>
        <v>1</v>
      </c>
      <c r="W42">
        <f>IF(cleaned_data!AJ42="Yes",1,0)</f>
        <v>1</v>
      </c>
      <c r="X42" s="2" cm="1">
        <f t="array" ref="X42">_xlfn.IFS(cleaned_data!AM42="Yes", 1,
cleaned_data!AM42="No", 0,
cleaned_data!AM42="Unknown", "")</f>
        <v>0</v>
      </c>
      <c r="Y42" cm="1">
        <f t="array" ref="Y42">_xlfn.IFS(cleaned_data!AK42="Solar", 1,
cleaned_data!AK42="Generator", 0.75,
cleaned_data!AK42="Eskom grid", 0.5,
TRUE, "")</f>
        <v>0.5</v>
      </c>
      <c r="Z42" cm="1">
        <f t="array" ref="Z42">_xlfn.IFS(cleaned_data!AL42="", "",
cleaned_data!AL42&lt;=8, 1,
cleaned_data!AL42&lt;=14, 0.75,
cleaned_data!AL42&lt;=21, 0.5,
cleaned_data!AL42&gt;=22, 0.25)</f>
        <v>0.5</v>
      </c>
      <c r="AA42" cm="1">
        <f t="array" ref="AA42">_xlfn.IFS(cleaned_data!AH42=0, 1,
cleaned_data!AH42=1, 0.75,
cleaned_data!AH42=2, 0.5,
cleaned_data!AH42&gt;=3, 0.25)</f>
        <v>0.75</v>
      </c>
      <c r="AB42" cm="1">
        <f t="array" ref="AB42">_xlfn.IFS(cleaned_data!AO42="", "",
cleaned_data!AO42&gt;=50, 1,
cleaned_data!AO42&gt;=30, 0.75,
cleaned_data!AO42&gt;=10, 0.5,
cleaned_data!AO42&lt;10, 0.25)</f>
        <v>1</v>
      </c>
      <c r="AC42" cm="1">
        <f t="array" ref="AC42">_xlfn.IFS(cleaned_data!AP42&gt;=50,1, cleaned_data!AP42&gt;=30,0.75, cleaned_data!AP42&gt;=10,0.5, cleaned_data!AP42&lt;10,0.25)</f>
        <v>0.75</v>
      </c>
      <c r="AD42" cm="1">
        <f t="array" ref="AD42">_xlfn.IFS(cleaned_data!AQ42&gt;=30,1,
cleaned_data!AQ42&gt;=20,0.75,
cleaned_data!AQ42&gt;=10,0.5,
cleaned_data!AQ42&lt;10,0.25)</f>
        <v>1</v>
      </c>
      <c r="AE42" cm="1">
        <f t="array" ref="AE42">_xlfn.IFS(cleaned_data!AR42&gt;=75,1,
cleaned_data!AR42&gt;=50,0.75,
cleaned_data!AR42&gt;=25,0.5,
cleaned_data!AR42&lt;25,0.25)</f>
        <v>0.5</v>
      </c>
      <c r="AF42">
        <f>IF(cleaned_data!AS42="Yes",1,0)</f>
        <v>1</v>
      </c>
    </row>
    <row r="43" spans="1:32" x14ac:dyDescent="0.35">
      <c r="A43" t="s">
        <v>300</v>
      </c>
      <c r="B43" t="s">
        <v>228</v>
      </c>
      <c r="C43">
        <f>IF(cleaned_data!K43="Registered",1,0)</f>
        <v>1</v>
      </c>
      <c r="D43">
        <f>IF(cleaned_data!L43="Yes",1,0)</f>
        <v>0</v>
      </c>
      <c r="E43">
        <f>IF(cleaned_data!M43="Yes",1,0)</f>
        <v>1</v>
      </c>
      <c r="F43">
        <f>IF(cleaned_data!O43="Unknown","",IF(cleaned_data!O43="Yes",1,0))</f>
        <v>1</v>
      </c>
      <c r="G43" cm="1">
        <f t="array" ref="G43">_xlfn.IFS(cleaned_data!N43="Owned",1,cleaned_data!N43="Leased",0.75,cleaned_data!N43="State land",0.5,cleaned_data!N43="Communal",0.25)</f>
        <v>1</v>
      </c>
      <c r="H43" s="2" cm="1">
        <f t="array" ref="H43">_xlfn.IFS(cleaned_data!G43&gt;=10,1,cleaned_data!G43&gt;=5,0.75,cleaned_data!G43&gt;=2,0.5,TRUE,0.25)</f>
        <v>1</v>
      </c>
      <c r="I43">
        <f>IF(cleaned_data!P43="None",0,1)</f>
        <v>1</v>
      </c>
      <c r="J43" s="2" cm="1">
        <f t="array" ref="J43">_xlfn.IFS(cleaned_data!H43&gt;=20,1,cleaned_data!H43&gt;=10,0.75,cleaned_data!H43&gt;=5,0.5,cleaned_data!H43&gt;=1,0.25,TRUE,0)</f>
        <v>1</v>
      </c>
      <c r="K43" cm="1">
        <f t="array" ref="K43">_xlfn.IFS(cleaned_data!Q43&gt;=100000,1,cleaned_data!Q43&gt;=50000,0.75,cleaned_data!Q43&gt;=10000,0.5,TRUE,0.25)</f>
        <v>1</v>
      </c>
      <c r="L43" cm="1">
        <f t="array" ref="L43">_xlfn.IFS(cleaned_data!T43="","",cleaned_data!T43&lt;=10,1,cleaned_data!T43&lt;=25,0.75,cleaned_data!T43&lt;=40,0.5, cleaned_data!T43&gt;40,0.25)</f>
        <v>0.75</v>
      </c>
      <c r="M43">
        <f>IF(cleaned_data!U43="Yes",1,0)</f>
        <v>1</v>
      </c>
      <c r="N43" cm="1">
        <f t="array" ref="N43">_xlfn.IFS(cleaned_data!V43="Unknown","",cleaned_data!V43="Yes",1,TRUE,0)</f>
        <v>1</v>
      </c>
      <c r="O43" cm="1">
        <f t="array" ref="O43">_xlfn.IFS(cleaned_data!S43&gt;=4,1,cleaned_data!S43=3,0.75,cleaned_data!S43=2,0.5,cleaned_data!S43=1,0.25,TRUE,0)</f>
        <v>0.5</v>
      </c>
      <c r="P43" cm="1">
        <f t="array" ref="P43">_xlfn.IFS(cleaned_data!AB43&gt;=50,1,cleaned_data!AB43&gt;=35,0.75,cleaned_data!AB43&gt;=20,0.5,TRUE,0.25)</f>
        <v>0.5</v>
      </c>
      <c r="Q43" cm="1">
        <f t="array" ref="Q43">_xlfn.IFS(cleaned_data!X43&gt;=5,1,cleaned_data!X43&gt;=3,0.75,cleaned_data!X43=2,0.5,cleaned_data!X43=1,0.25,TRUE,0)</f>
        <v>1</v>
      </c>
      <c r="R43">
        <f>IF(cleaned_data!Y43="Yes",1,0)</f>
        <v>0</v>
      </c>
      <c r="S43">
        <f>IF(OR(cleaned_data!AF43="GlobalG.A.P.",cleaned_data!AF43="Fairtrade",cleaned_data!AF43="Organic (CERES)"),1,
IF(OR(cleaned_data!AF43="SIZA",cleaned_data!AF43="Woolworths TNC",cleaned_data!AF43="Checkers Good Farming"),0.75,
IF(cleaned_data!AF43="No Certificate",0,
IF(cleaned_data!AF43="Unknown","",""))))</f>
        <v>0.75</v>
      </c>
      <c r="T43">
        <f>IF(cleaned_data!AG43="Yes",1,0)</f>
        <v>1</v>
      </c>
      <c r="U43">
        <f>IF(OR(cleaned_data!AD43="No Loan",cleaned_data!AD43="Settled",cleaned_data!AD43="Current"),1,
IF(cleaned_data!AD43="In Arrears",0.5,
IF(cleaned_data!AD43="Defaulted",0,
IF(cleaned_data!AD43="Unknown","",""))))</f>
        <v>1</v>
      </c>
      <c r="V43" cm="1">
        <f t="array" ref="V43">_xlfn.IFS(cleaned_data!AE43&lt;=0.2,1,
cleaned_data!AE43&lt;=0.5,0.75,
cleaned_data!AE43&lt;=1,0.5,
cleaned_data!AE43&gt;1,0.25)</f>
        <v>1</v>
      </c>
      <c r="W43">
        <f>IF(cleaned_data!AJ43="Yes",1,0)</f>
        <v>1</v>
      </c>
      <c r="X43" s="2" t="str" cm="1">
        <f t="array" ref="X43">_xlfn.IFS(cleaned_data!AM43="Yes", 1,
cleaned_data!AM43="No", 0,
cleaned_data!AM43="Unknown", "")</f>
        <v/>
      </c>
      <c r="Y43" cm="1">
        <f t="array" ref="Y43">_xlfn.IFS(cleaned_data!AK43="Solar", 1,
cleaned_data!AK43="Generator", 0.75,
cleaned_data!AK43="Eskom grid", 0.5,
TRUE, "")</f>
        <v>0.5</v>
      </c>
      <c r="Z43" cm="1">
        <f t="array" ref="Z43">_xlfn.IFS(cleaned_data!AL43="", "",
cleaned_data!AL43&lt;=8, 1,
cleaned_data!AL43&lt;=14, 0.75,
cleaned_data!AL43&lt;=21, 0.5,
cleaned_data!AL43&gt;=22, 0.25)</f>
        <v>0.5</v>
      </c>
      <c r="AA43" cm="1">
        <f t="array" ref="AA43">_xlfn.IFS(cleaned_data!AH43=0, 1,
cleaned_data!AH43=1, 0.75,
cleaned_data!AH43=2, 0.5,
cleaned_data!AH43&gt;=3, 0.25)</f>
        <v>0.25</v>
      </c>
      <c r="AB43" cm="1">
        <f t="array" ref="AB43">_xlfn.IFS(cleaned_data!AO43="", "",
cleaned_data!AO43&gt;=50, 1,
cleaned_data!AO43&gt;=30, 0.75,
cleaned_data!AO43&gt;=10, 0.5,
cleaned_data!AO43&lt;10, 0.25)</f>
        <v>1</v>
      </c>
      <c r="AC43" cm="1">
        <f t="array" ref="AC43">_xlfn.IFS(cleaned_data!AP43&gt;=50,1, cleaned_data!AP43&gt;=30,0.75, cleaned_data!AP43&gt;=10,0.5, cleaned_data!AP43&lt;10,0.25)</f>
        <v>1</v>
      </c>
      <c r="AD43" cm="1">
        <f t="array" ref="AD43">_xlfn.IFS(cleaned_data!AQ43&gt;=30,1,
cleaned_data!AQ43&gt;=20,0.75,
cleaned_data!AQ43&gt;=10,0.5,
cleaned_data!AQ43&lt;10,0.25)</f>
        <v>0.75</v>
      </c>
      <c r="AE43" cm="1">
        <f t="array" ref="AE43">_xlfn.IFS(cleaned_data!AR43&gt;=75,1,
cleaned_data!AR43&gt;=50,0.75,
cleaned_data!AR43&gt;=25,0.5,
cleaned_data!AR43&lt;25,0.25)</f>
        <v>1</v>
      </c>
      <c r="AF43">
        <f>IF(cleaned_data!AS43="Yes",1,0)</f>
        <v>0</v>
      </c>
    </row>
    <row r="44" spans="1:32" hidden="1" x14ac:dyDescent="0.35">
      <c r="A44" t="s">
        <v>298</v>
      </c>
      <c r="B44" t="s">
        <v>297</v>
      </c>
      <c r="C44">
        <f>IF(cleaned_data!K44="Registered",1,0)</f>
        <v>1</v>
      </c>
      <c r="D44">
        <f>IF(cleaned_data!L44="Yes",1,0)</f>
        <v>0</v>
      </c>
      <c r="E44">
        <f>IF(cleaned_data!M44="Yes",1,0)</f>
        <v>1</v>
      </c>
      <c r="F44">
        <f>IF(cleaned_data!O44="Unknown","",IF(cleaned_data!O44="Yes",1,0))</f>
        <v>1</v>
      </c>
      <c r="G44" cm="1">
        <f t="array" ref="G44">_xlfn.IFS(cleaned_data!N44="Owned",1,cleaned_data!N44="Leased",0.75,cleaned_data!N44="State land",0.5,cleaned_data!N44="Communal",0.25)</f>
        <v>1</v>
      </c>
      <c r="H44" s="2" cm="1">
        <f t="array" ref="H44">_xlfn.IFS(cleaned_data!G44&gt;=10,1,cleaned_data!G44&gt;=5,0.75,cleaned_data!G44&gt;=2,0.5,TRUE,0.25)</f>
        <v>1</v>
      </c>
      <c r="I44">
        <f>IF(cleaned_data!P44="None",0,1)</f>
        <v>1</v>
      </c>
      <c r="J44" s="2" cm="1">
        <f t="array" ref="J44">_xlfn.IFS(cleaned_data!H44&gt;=20,1,cleaned_data!H44&gt;=10,0.75,cleaned_data!H44&gt;=5,0.5,cleaned_data!H44&gt;=1,0.25,TRUE,0)</f>
        <v>1</v>
      </c>
      <c r="K44" cm="1">
        <f t="array" ref="K44">_xlfn.IFS(cleaned_data!Q44&gt;=100000,1,cleaned_data!Q44&gt;=50000,0.75,cleaned_data!Q44&gt;=10000,0.5,TRUE,0.25)</f>
        <v>1</v>
      </c>
      <c r="L44" cm="1">
        <f t="array" ref="L44">_xlfn.IFS(cleaned_data!T44="","",cleaned_data!T44&lt;=10,1,cleaned_data!T44&lt;=25,0.75,cleaned_data!T44&lt;=40,0.5, cleaned_data!T44&gt;40,0.25)</f>
        <v>0.75</v>
      </c>
      <c r="M44">
        <f>IF(cleaned_data!U44="Yes",1,0)</f>
        <v>1</v>
      </c>
      <c r="N44" cm="1">
        <f t="array" ref="N44">_xlfn.IFS(cleaned_data!V44="Unknown","",cleaned_data!V44="Yes",1,TRUE,0)</f>
        <v>1</v>
      </c>
      <c r="O44" cm="1">
        <f t="array" ref="O44">_xlfn.IFS(cleaned_data!S44&gt;=4,1,cleaned_data!S44=3,0.75,cleaned_data!S44=2,0.5,cleaned_data!S44=1,0.25,TRUE,0)</f>
        <v>0.75</v>
      </c>
      <c r="P44" cm="1">
        <f t="array" ref="P44">_xlfn.IFS(cleaned_data!AB44&gt;=50,1,cleaned_data!AB44&gt;=35,0.75,cleaned_data!AB44&gt;=20,0.5,TRUE,0.25)</f>
        <v>0.75</v>
      </c>
      <c r="Q44" cm="1">
        <f t="array" ref="Q44">_xlfn.IFS(cleaned_data!X44&gt;=5,1,cleaned_data!X44&gt;=3,0.75,cleaned_data!X44=2,0.5,cleaned_data!X44=1,0.25,TRUE,0)</f>
        <v>1</v>
      </c>
      <c r="R44">
        <f>IF(cleaned_data!Y44="Yes",1,0)</f>
        <v>1</v>
      </c>
      <c r="S44">
        <f>IF(OR(cleaned_data!AF44="GlobalG.A.P.",cleaned_data!AF44="Fairtrade",cleaned_data!AF44="Organic (CERES)"),1,
IF(OR(cleaned_data!AF44="SIZA",cleaned_data!AF44="Woolworths TNC",cleaned_data!AF44="Checkers Good Farming"),0.75,
IF(cleaned_data!AF44="No Certificate",0,
IF(cleaned_data!AF44="Unknown","",""))))</f>
        <v>0.75</v>
      </c>
      <c r="T44">
        <f>IF(cleaned_data!AG44="Yes",1,0)</f>
        <v>0</v>
      </c>
      <c r="U44">
        <f>IF(OR(cleaned_data!AD44="No Loan",cleaned_data!AD44="Settled",cleaned_data!AD44="Current"),1,
IF(cleaned_data!AD44="In Arrears",0.5,
IF(cleaned_data!AD44="Defaulted",0,
IF(cleaned_data!AD44="Unknown","",""))))</f>
        <v>1</v>
      </c>
      <c r="V44" cm="1">
        <f t="array" ref="V44">_xlfn.IFS(cleaned_data!AE44&lt;=0.2,1,
cleaned_data!AE44&lt;=0.5,0.75,
cleaned_data!AE44&lt;=1,0.5,
cleaned_data!AE44&gt;1,0.25)</f>
        <v>1</v>
      </c>
      <c r="W44">
        <f>IF(cleaned_data!AJ44="Yes",1,0)</f>
        <v>1</v>
      </c>
      <c r="X44" s="2" cm="1">
        <f t="array" ref="X44">_xlfn.IFS(cleaned_data!AM44="Yes", 1,
cleaned_data!AM44="No", 0,
cleaned_data!AM44="Unknown", "")</f>
        <v>1</v>
      </c>
      <c r="Y44" cm="1">
        <f t="array" ref="Y44">_xlfn.IFS(cleaned_data!AK44="Solar", 1,
cleaned_data!AK44="Generator", 0.75,
cleaned_data!AK44="Eskom grid", 0.5,
TRUE, "")</f>
        <v>0.75</v>
      </c>
      <c r="Z44" cm="1">
        <f t="array" ref="Z44">_xlfn.IFS(cleaned_data!AL44="", "",
cleaned_data!AL44&lt;=8, 1,
cleaned_data!AL44&lt;=14, 0.75,
cleaned_data!AL44&lt;=21, 0.5,
cleaned_data!AL44&gt;=22, 0.25)</f>
        <v>1</v>
      </c>
      <c r="AA44" cm="1">
        <f t="array" ref="AA44">_xlfn.IFS(cleaned_data!AH44=0, 1,
cleaned_data!AH44=1, 0.75,
cleaned_data!AH44=2, 0.5,
cleaned_data!AH44&gt;=3, 0.25)</f>
        <v>0.5</v>
      </c>
      <c r="AB44" cm="1">
        <f t="array" ref="AB44">_xlfn.IFS(cleaned_data!AO44="", "",
cleaned_data!AO44&gt;=50, 1,
cleaned_data!AO44&gt;=30, 0.75,
cleaned_data!AO44&gt;=10, 0.5,
cleaned_data!AO44&lt;10, 0.25)</f>
        <v>0.25</v>
      </c>
      <c r="AC44" cm="1">
        <f t="array" ref="AC44">_xlfn.IFS(cleaned_data!AP44&gt;=50,1, cleaned_data!AP44&gt;=30,0.75, cleaned_data!AP44&gt;=10,0.5, cleaned_data!AP44&lt;10,0.25)</f>
        <v>0.75</v>
      </c>
      <c r="AD44" cm="1">
        <f t="array" ref="AD44">_xlfn.IFS(cleaned_data!AQ44&gt;=30,1,
cleaned_data!AQ44&gt;=20,0.75,
cleaned_data!AQ44&gt;=10,0.5,
cleaned_data!AQ44&lt;10,0.25)</f>
        <v>1</v>
      </c>
      <c r="AE44" cm="1">
        <f t="array" ref="AE44">_xlfn.IFS(cleaned_data!AR44&gt;=75,1,
cleaned_data!AR44&gt;=50,0.75,
cleaned_data!AR44&gt;=25,0.5,
cleaned_data!AR44&lt;25,0.25)</f>
        <v>0.75</v>
      </c>
      <c r="AF44">
        <f>IF(cleaned_data!AS44="Yes",1,0)</f>
        <v>0</v>
      </c>
    </row>
    <row r="45" spans="1:32" hidden="1" x14ac:dyDescent="0.35">
      <c r="A45" t="s">
        <v>296</v>
      </c>
      <c r="B45" t="s">
        <v>295</v>
      </c>
      <c r="C45">
        <f>IF(cleaned_data!K45="Registered",1,0)</f>
        <v>1</v>
      </c>
      <c r="D45">
        <f>IF(cleaned_data!L45="Yes",1,0)</f>
        <v>1</v>
      </c>
      <c r="E45">
        <f>IF(cleaned_data!M45="Yes",1,0)</f>
        <v>0</v>
      </c>
      <c r="F45">
        <f>IF(cleaned_data!O45="Unknown","",IF(cleaned_data!O45="Yes",1,0))</f>
        <v>0</v>
      </c>
      <c r="G45" cm="1">
        <f t="array" ref="G45">_xlfn.IFS(cleaned_data!N45="Owned",1,cleaned_data!N45="Leased",0.75,cleaned_data!N45="State land",0.5,cleaned_data!N45="Communal",0.25)</f>
        <v>0.75</v>
      </c>
      <c r="H45" s="2" cm="1">
        <f t="array" ref="H45">_xlfn.IFS(cleaned_data!G45&gt;=10,1,cleaned_data!G45&gt;=5,0.75,cleaned_data!G45&gt;=2,0.5,TRUE,0.25)</f>
        <v>1</v>
      </c>
      <c r="I45">
        <f>IF(cleaned_data!P45="None",0,1)</f>
        <v>1</v>
      </c>
      <c r="J45" s="2" cm="1">
        <f t="array" ref="J45">_xlfn.IFS(cleaned_data!H45&gt;=20,1,cleaned_data!H45&gt;=10,0.75,cleaned_data!H45&gt;=5,0.5,cleaned_data!H45&gt;=1,0.25,TRUE,0)</f>
        <v>1</v>
      </c>
      <c r="K45" cm="1">
        <f t="array" ref="K45">_xlfn.IFS(cleaned_data!Q45&gt;=100000,1,cleaned_data!Q45&gt;=50000,0.75,cleaned_data!Q45&gt;=10000,0.5,TRUE,0.25)</f>
        <v>0.75</v>
      </c>
      <c r="L45" cm="1">
        <f t="array" ref="L45">_xlfn.IFS(cleaned_data!T45="","",cleaned_data!T45&lt;=10,1,cleaned_data!T45&lt;=25,0.75,cleaned_data!T45&lt;=40,0.5, cleaned_data!T45&gt;40,0.25)</f>
        <v>0.75</v>
      </c>
      <c r="M45">
        <f>IF(cleaned_data!U45="Yes",1,0)</f>
        <v>1</v>
      </c>
      <c r="N45" cm="1">
        <f t="array" ref="N45">_xlfn.IFS(cleaned_data!V45="Unknown","",cleaned_data!V45="Yes",1,TRUE,0)</f>
        <v>1</v>
      </c>
      <c r="O45" cm="1">
        <f t="array" ref="O45">_xlfn.IFS(cleaned_data!S45&gt;=4,1,cleaned_data!S45=3,0.75,cleaned_data!S45=2,0.5,cleaned_data!S45=1,0.25,TRUE,0)</f>
        <v>0.75</v>
      </c>
      <c r="P45" cm="1">
        <f t="array" ref="P45">_xlfn.IFS(cleaned_data!AB45&gt;=50,1,cleaned_data!AB45&gt;=35,0.75,cleaned_data!AB45&gt;=20,0.5,TRUE,0.25)</f>
        <v>1</v>
      </c>
      <c r="Q45" cm="1">
        <f t="array" ref="Q45">_xlfn.IFS(cleaned_data!X45&gt;=5,1,cleaned_data!X45&gt;=3,0.75,cleaned_data!X45=2,0.5,cleaned_data!X45=1,0.25,TRUE,0)</f>
        <v>1</v>
      </c>
      <c r="R45">
        <f>IF(cleaned_data!Y45="Yes",1,0)</f>
        <v>1</v>
      </c>
      <c r="S45">
        <f>IF(OR(cleaned_data!AF45="GlobalG.A.P.",cleaned_data!AF45="Fairtrade",cleaned_data!AF45="Organic (CERES)"),1,
IF(OR(cleaned_data!AF45="SIZA",cleaned_data!AF45="Woolworths TNC",cleaned_data!AF45="Checkers Good Farming"),0.75,
IF(cleaned_data!AF45="No Certificate",0,
IF(cleaned_data!AF45="Unknown","",""))))</f>
        <v>0.75</v>
      </c>
      <c r="T45">
        <f>IF(cleaned_data!AG45="Yes",1,0)</f>
        <v>1</v>
      </c>
      <c r="U45">
        <f>IF(OR(cleaned_data!AD45="No Loan",cleaned_data!AD45="Settled",cleaned_data!AD45="Current"),1,
IF(cleaned_data!AD45="In Arrears",0.5,
IF(cleaned_data!AD45="Defaulted",0,
IF(cleaned_data!AD45="Unknown","",""))))</f>
        <v>1</v>
      </c>
      <c r="V45" cm="1">
        <f t="array" ref="V45">_xlfn.IFS(cleaned_data!AE45&lt;=0.2,1,
cleaned_data!AE45&lt;=0.5,0.75,
cleaned_data!AE45&lt;=1,0.5,
cleaned_data!AE45&gt;1,0.25)</f>
        <v>1</v>
      </c>
      <c r="W45">
        <f>IF(cleaned_data!AJ45="Yes",1,0)</f>
        <v>1</v>
      </c>
      <c r="X45" s="2" cm="1">
        <f t="array" ref="X45">_xlfn.IFS(cleaned_data!AM45="Yes", 1,
cleaned_data!AM45="No", 0,
cleaned_data!AM45="Unknown", "")</f>
        <v>0</v>
      </c>
      <c r="Y45" cm="1">
        <f t="array" ref="Y45">_xlfn.IFS(cleaned_data!AK45="Solar", 1,
cleaned_data!AK45="Generator", 0.75,
cleaned_data!AK45="Eskom grid", 0.5,
TRUE, "")</f>
        <v>1</v>
      </c>
      <c r="Z45" cm="1">
        <f t="array" ref="Z45">_xlfn.IFS(cleaned_data!AL45="", "",
cleaned_data!AL45&lt;=8, 1,
cleaned_data!AL45&lt;=14, 0.75,
cleaned_data!AL45&lt;=21, 0.5,
cleaned_data!AL45&gt;=22, 0.25)</f>
        <v>1</v>
      </c>
      <c r="AA45" cm="1">
        <f t="array" ref="AA45">_xlfn.IFS(cleaned_data!AH45=0, 1,
cleaned_data!AH45=1, 0.75,
cleaned_data!AH45=2, 0.5,
cleaned_data!AH45&gt;=3, 0.25)</f>
        <v>0.5</v>
      </c>
      <c r="AB45" cm="1">
        <f t="array" ref="AB45">_xlfn.IFS(cleaned_data!AO45="", "",
cleaned_data!AO45&gt;=50, 1,
cleaned_data!AO45&gt;=30, 0.75,
cleaned_data!AO45&gt;=10, 0.5,
cleaned_data!AO45&lt;10, 0.25)</f>
        <v>0.75</v>
      </c>
      <c r="AC45" cm="1">
        <f t="array" ref="AC45">_xlfn.IFS(cleaned_data!AP45&gt;=50,1, cleaned_data!AP45&gt;=30,0.75, cleaned_data!AP45&gt;=10,0.5, cleaned_data!AP45&lt;10,0.25)</f>
        <v>0.5</v>
      </c>
      <c r="AD45" cm="1">
        <f t="array" ref="AD45">_xlfn.IFS(cleaned_data!AQ45&gt;=30,1,
cleaned_data!AQ45&gt;=20,0.75,
cleaned_data!AQ45&gt;=10,0.5,
cleaned_data!AQ45&lt;10,0.25)</f>
        <v>0.75</v>
      </c>
      <c r="AE45" cm="1">
        <f t="array" ref="AE45">_xlfn.IFS(cleaned_data!AR45&gt;=75,1,
cleaned_data!AR45&gt;=50,0.75,
cleaned_data!AR45&gt;=25,0.5,
cleaned_data!AR45&lt;25,0.25)</f>
        <v>0.75</v>
      </c>
      <c r="AF45">
        <f>IF(cleaned_data!AS45="Yes",1,0)</f>
        <v>0</v>
      </c>
    </row>
    <row r="46" spans="1:32" hidden="1" x14ac:dyDescent="0.35">
      <c r="A46" t="s">
        <v>294</v>
      </c>
      <c r="B46" t="s">
        <v>293</v>
      </c>
      <c r="C46">
        <f>IF(cleaned_data!K46="Registered",1,0)</f>
        <v>1</v>
      </c>
      <c r="D46">
        <f>IF(cleaned_data!L46="Yes",1,0)</f>
        <v>1</v>
      </c>
      <c r="E46">
        <f>IF(cleaned_data!M46="Yes",1,0)</f>
        <v>1</v>
      </c>
      <c r="F46">
        <f>IF(cleaned_data!O46="Unknown","",IF(cleaned_data!O46="Yes",1,0))</f>
        <v>0</v>
      </c>
      <c r="G46" cm="1">
        <f t="array" ref="G46">_xlfn.IFS(cleaned_data!N46="Owned",1,cleaned_data!N46="Leased",0.75,cleaned_data!N46="State land",0.5,cleaned_data!N46="Communal",0.25)</f>
        <v>0.5</v>
      </c>
      <c r="H46" s="2" cm="1">
        <f t="array" ref="H46">_xlfn.IFS(cleaned_data!G46&gt;=10,1,cleaned_data!G46&gt;=5,0.75,cleaned_data!G46&gt;=2,0.5,TRUE,0.25)</f>
        <v>0.75</v>
      </c>
      <c r="I46">
        <f>IF(cleaned_data!P46="None",0,1)</f>
        <v>1</v>
      </c>
      <c r="J46" s="2" cm="1">
        <f t="array" ref="J46">_xlfn.IFS(cleaned_data!H46&gt;=20,1,cleaned_data!H46&gt;=10,0.75,cleaned_data!H46&gt;=5,0.5,cleaned_data!H46&gt;=1,0.25,TRUE,0)</f>
        <v>1</v>
      </c>
      <c r="K46" cm="1">
        <f t="array" ref="K46">_xlfn.IFS(cleaned_data!Q46&gt;=100000,1,cleaned_data!Q46&gt;=50000,0.75,cleaned_data!Q46&gt;=10000,0.5,TRUE,0.25)</f>
        <v>0.75</v>
      </c>
      <c r="L46" cm="1">
        <f t="array" ref="L46">_xlfn.IFS(cleaned_data!T46="","",cleaned_data!T46&lt;=10,1,cleaned_data!T46&lt;=25,0.75,cleaned_data!T46&lt;=40,0.5, cleaned_data!T46&gt;40,0.25)</f>
        <v>0.75</v>
      </c>
      <c r="M46">
        <f>IF(cleaned_data!U46="Yes",1,0)</f>
        <v>1</v>
      </c>
      <c r="N46" cm="1">
        <f t="array" ref="N46">_xlfn.IFS(cleaned_data!V46="Unknown","",cleaned_data!V46="Yes",1,TRUE,0)</f>
        <v>1</v>
      </c>
      <c r="O46" cm="1">
        <f t="array" ref="O46">_xlfn.IFS(cleaned_data!S46&gt;=4,1,cleaned_data!S46=3,0.75,cleaned_data!S46=2,0.5,cleaned_data!S46=1,0.25,TRUE,0)</f>
        <v>0.25</v>
      </c>
      <c r="P46" cm="1">
        <f t="array" ref="P46">_xlfn.IFS(cleaned_data!AB46&gt;=50,1,cleaned_data!AB46&gt;=35,0.75,cleaned_data!AB46&gt;=20,0.5,TRUE,0.25)</f>
        <v>0.75</v>
      </c>
      <c r="Q46" cm="1">
        <f t="array" ref="Q46">_xlfn.IFS(cleaned_data!X46&gt;=5,1,cleaned_data!X46&gt;=3,0.75,cleaned_data!X46=2,0.5,cleaned_data!X46=1,0.25,TRUE,0)</f>
        <v>1</v>
      </c>
      <c r="R46">
        <f>IF(cleaned_data!Y46="Yes",1,0)</f>
        <v>1</v>
      </c>
      <c r="S46" t="str">
        <f>IF(OR(cleaned_data!AF46="GlobalG.A.P.",cleaned_data!AF46="Fairtrade",cleaned_data!AF46="Organic (CERES)"),1,
IF(OR(cleaned_data!AF46="SIZA",cleaned_data!AF46="Woolworths TNC",cleaned_data!AF46="Checkers Good Farming"),0.75,
IF(cleaned_data!AF46="No Certificate",0,
IF(cleaned_data!AF46="Unknown","",""))))</f>
        <v/>
      </c>
      <c r="T46">
        <f>IF(cleaned_data!AG46="Yes",1,0)</f>
        <v>0</v>
      </c>
      <c r="U46">
        <f>IF(OR(cleaned_data!AD46="No Loan",cleaned_data!AD46="Settled",cleaned_data!AD46="Current"),1,
IF(cleaned_data!AD46="In Arrears",0.5,
IF(cleaned_data!AD46="Defaulted",0,
IF(cleaned_data!AD46="Unknown","",""))))</f>
        <v>1</v>
      </c>
      <c r="V46" cm="1">
        <f t="array" ref="V46">_xlfn.IFS(cleaned_data!AE46&lt;=0.2,1,
cleaned_data!AE46&lt;=0.5,0.75,
cleaned_data!AE46&lt;=1,0.5,
cleaned_data!AE46&gt;1,0.25)</f>
        <v>1</v>
      </c>
      <c r="W46">
        <f>IF(cleaned_data!AJ46="Yes",1,0)</f>
        <v>1</v>
      </c>
      <c r="X46" s="2" cm="1">
        <f t="array" ref="X46">_xlfn.IFS(cleaned_data!AM46="Yes", 1,
cleaned_data!AM46="No", 0,
cleaned_data!AM46="Unknown", "")</f>
        <v>1</v>
      </c>
      <c r="Y46" cm="1">
        <f t="array" ref="Y46">_xlfn.IFS(cleaned_data!AK46="Solar", 1,
cleaned_data!AK46="Generator", 0.75,
cleaned_data!AK46="Eskom grid", 0.5,
TRUE, "")</f>
        <v>1</v>
      </c>
      <c r="Z46" cm="1">
        <f t="array" ref="Z46">_xlfn.IFS(cleaned_data!AL46="", "",
cleaned_data!AL46&lt;=8, 1,
cleaned_data!AL46&lt;=14, 0.75,
cleaned_data!AL46&lt;=21, 0.5,
cleaned_data!AL46&gt;=22, 0.25)</f>
        <v>1</v>
      </c>
      <c r="AA46" cm="1">
        <f t="array" ref="AA46">_xlfn.IFS(cleaned_data!AH46=0, 1,
cleaned_data!AH46=1, 0.75,
cleaned_data!AH46=2, 0.5,
cleaned_data!AH46&gt;=3, 0.25)</f>
        <v>0.25</v>
      </c>
      <c r="AB46" cm="1">
        <f t="array" ref="AB46">_xlfn.IFS(cleaned_data!AO46="", "",
cleaned_data!AO46&gt;=50, 1,
cleaned_data!AO46&gt;=30, 0.75,
cleaned_data!AO46&gt;=10, 0.5,
cleaned_data!AO46&lt;10, 0.25)</f>
        <v>0.75</v>
      </c>
      <c r="AC46" cm="1">
        <f t="array" ref="AC46">_xlfn.IFS(cleaned_data!AP46&gt;=50,1, cleaned_data!AP46&gt;=30,0.75, cleaned_data!AP46&gt;=10,0.5, cleaned_data!AP46&lt;10,0.25)</f>
        <v>0.5</v>
      </c>
      <c r="AD46" cm="1">
        <f t="array" ref="AD46">_xlfn.IFS(cleaned_data!AQ46&gt;=30,1,
cleaned_data!AQ46&gt;=20,0.75,
cleaned_data!AQ46&gt;=10,0.5,
cleaned_data!AQ46&lt;10,0.25)</f>
        <v>1</v>
      </c>
      <c r="AE46" cm="1">
        <f t="array" ref="AE46">_xlfn.IFS(cleaned_data!AR46&gt;=75,1,
cleaned_data!AR46&gt;=50,0.75,
cleaned_data!AR46&gt;=25,0.5,
cleaned_data!AR46&lt;25,0.25)</f>
        <v>0.75</v>
      </c>
      <c r="AF46">
        <f>IF(cleaned_data!AS46="Yes",1,0)</f>
        <v>0</v>
      </c>
    </row>
    <row r="47" spans="1:32" hidden="1" x14ac:dyDescent="0.35">
      <c r="A47" t="s">
        <v>292</v>
      </c>
      <c r="B47" t="s">
        <v>291</v>
      </c>
      <c r="C47">
        <f>IF(cleaned_data!K47="Registered",1,0)</f>
        <v>1</v>
      </c>
      <c r="D47">
        <f>IF(cleaned_data!L47="Yes",1,0)</f>
        <v>0</v>
      </c>
      <c r="E47">
        <f>IF(cleaned_data!M47="Yes",1,0)</f>
        <v>0</v>
      </c>
      <c r="F47">
        <f>IF(cleaned_data!O47="Unknown","",IF(cleaned_data!O47="Yes",1,0))</f>
        <v>0</v>
      </c>
      <c r="G47" cm="1">
        <f t="array" ref="G47">_xlfn.IFS(cleaned_data!N47="Owned",1,cleaned_data!N47="Leased",0.75,cleaned_data!N47="State land",0.5,cleaned_data!N47="Communal",0.25)</f>
        <v>0.75</v>
      </c>
      <c r="H47" s="2" cm="1">
        <f t="array" ref="H47">_xlfn.IFS(cleaned_data!G47&gt;=10,1,cleaned_data!G47&gt;=5,0.75,cleaned_data!G47&gt;=2,0.5,TRUE,0.25)</f>
        <v>1</v>
      </c>
      <c r="I47">
        <f>IF(cleaned_data!P47="None",0,1)</f>
        <v>1</v>
      </c>
      <c r="J47" s="2" cm="1">
        <f t="array" ref="J47">_xlfn.IFS(cleaned_data!H47&gt;=20,1,cleaned_data!H47&gt;=10,0.75,cleaned_data!H47&gt;=5,0.5,cleaned_data!H47&gt;=1,0.25,TRUE,0)</f>
        <v>1</v>
      </c>
      <c r="K47" cm="1">
        <f t="array" ref="K47">_xlfn.IFS(cleaned_data!Q47&gt;=100000,1,cleaned_data!Q47&gt;=50000,0.75,cleaned_data!Q47&gt;=10000,0.5,TRUE,0.25)</f>
        <v>0.5</v>
      </c>
      <c r="L47" cm="1">
        <f t="array" ref="L47">_xlfn.IFS(cleaned_data!T47="","",cleaned_data!T47&lt;=10,1,cleaned_data!T47&lt;=25,0.75,cleaned_data!T47&lt;=40,0.5, cleaned_data!T47&gt;40,0.25)</f>
        <v>1</v>
      </c>
      <c r="M47">
        <f>IF(cleaned_data!U47="Yes",1,0)</f>
        <v>1</v>
      </c>
      <c r="N47" cm="1">
        <f t="array" ref="N47">_xlfn.IFS(cleaned_data!V47="Unknown","",cleaned_data!V47="Yes",1,TRUE,0)</f>
        <v>1</v>
      </c>
      <c r="O47" cm="1">
        <f t="array" ref="O47">_xlfn.IFS(cleaned_data!S47&gt;=4,1,cleaned_data!S47=3,0.75,cleaned_data!S47=2,0.5,cleaned_data!S47=1,0.25,TRUE,0)</f>
        <v>0.75</v>
      </c>
      <c r="P47" cm="1">
        <f t="array" ref="P47">_xlfn.IFS(cleaned_data!AB47&gt;=50,1,cleaned_data!AB47&gt;=35,0.75,cleaned_data!AB47&gt;=20,0.5,TRUE,0.25)</f>
        <v>1</v>
      </c>
      <c r="Q47" cm="1">
        <f t="array" ref="Q47">_xlfn.IFS(cleaned_data!X47&gt;=5,1,cleaned_data!X47&gt;=3,0.75,cleaned_data!X47=2,0.5,cleaned_data!X47=1,0.25,TRUE,0)</f>
        <v>1</v>
      </c>
      <c r="R47">
        <f>IF(cleaned_data!Y47="Yes",1,0)</f>
        <v>0</v>
      </c>
      <c r="S47">
        <f>IF(OR(cleaned_data!AF47="GlobalG.A.P.",cleaned_data!AF47="Fairtrade",cleaned_data!AF47="Organic (CERES)"),1,
IF(OR(cleaned_data!AF47="SIZA",cleaned_data!AF47="Woolworths TNC",cleaned_data!AF47="Checkers Good Farming"),0.75,
IF(cleaned_data!AF47="No Certificate",0,
IF(cleaned_data!AF47="Unknown","",""))))</f>
        <v>0.75</v>
      </c>
      <c r="T47">
        <f>IF(cleaned_data!AG47="Yes",1,0)</f>
        <v>0</v>
      </c>
      <c r="U47">
        <f>IF(OR(cleaned_data!AD47="No Loan",cleaned_data!AD47="Settled",cleaned_data!AD47="Current"),1,
IF(cleaned_data!AD47="In Arrears",0.5,
IF(cleaned_data!AD47="Defaulted",0,
IF(cleaned_data!AD47="Unknown","",""))))</f>
        <v>1</v>
      </c>
      <c r="V47" cm="1">
        <f t="array" ref="V47">_xlfn.IFS(cleaned_data!AE47&lt;=0.2,1,
cleaned_data!AE47&lt;=0.5,0.75,
cleaned_data!AE47&lt;=1,0.5,
cleaned_data!AE47&gt;1,0.25)</f>
        <v>0.5</v>
      </c>
      <c r="W47">
        <f>IF(cleaned_data!AJ47="Yes",1,0)</f>
        <v>1</v>
      </c>
      <c r="X47" s="2" cm="1">
        <f t="array" ref="X47">_xlfn.IFS(cleaned_data!AM47="Yes", 1,
cleaned_data!AM47="No", 0,
cleaned_data!AM47="Unknown", "")</f>
        <v>1</v>
      </c>
      <c r="Y47" cm="1">
        <f t="array" ref="Y47">_xlfn.IFS(cleaned_data!AK47="Solar", 1,
cleaned_data!AK47="Generator", 0.75,
cleaned_data!AK47="Eskom grid", 0.5,
TRUE, "")</f>
        <v>1</v>
      </c>
      <c r="Z47" cm="1">
        <f t="array" ref="Z47">_xlfn.IFS(cleaned_data!AL47="", "",
cleaned_data!AL47&lt;=8, 1,
cleaned_data!AL47&lt;=14, 0.75,
cleaned_data!AL47&lt;=21, 0.5,
cleaned_data!AL47&gt;=22, 0.25)</f>
        <v>1</v>
      </c>
      <c r="AA47" cm="1">
        <f t="array" ref="AA47">_xlfn.IFS(cleaned_data!AH47=0, 1,
cleaned_data!AH47=1, 0.75,
cleaned_data!AH47=2, 0.5,
cleaned_data!AH47&gt;=3, 0.25)</f>
        <v>0.75</v>
      </c>
      <c r="AB47" cm="1">
        <f t="array" ref="AB47">_xlfn.IFS(cleaned_data!AO47="", "",
cleaned_data!AO47&gt;=50, 1,
cleaned_data!AO47&gt;=30, 0.75,
cleaned_data!AO47&gt;=10, 0.5,
cleaned_data!AO47&lt;10, 0.25)</f>
        <v>0.5</v>
      </c>
      <c r="AC47" cm="1">
        <f t="array" ref="AC47">_xlfn.IFS(cleaned_data!AP47&gt;=50,1, cleaned_data!AP47&gt;=30,0.75, cleaned_data!AP47&gt;=10,0.5, cleaned_data!AP47&lt;10,0.25)</f>
        <v>1</v>
      </c>
      <c r="AD47" cm="1">
        <f t="array" ref="AD47">_xlfn.IFS(cleaned_data!AQ47&gt;=30,1,
cleaned_data!AQ47&gt;=20,0.75,
cleaned_data!AQ47&gt;=10,0.5,
cleaned_data!AQ47&lt;10,0.25)</f>
        <v>1</v>
      </c>
      <c r="AE47" cm="1">
        <f t="array" ref="AE47">_xlfn.IFS(cleaned_data!AR47&gt;=75,1,
cleaned_data!AR47&gt;=50,0.75,
cleaned_data!AR47&gt;=25,0.5,
cleaned_data!AR47&lt;25,0.25)</f>
        <v>0.75</v>
      </c>
      <c r="AF47">
        <f>IF(cleaned_data!AS47="Yes",1,0)</f>
        <v>0</v>
      </c>
    </row>
    <row r="48" spans="1:32" x14ac:dyDescent="0.35">
      <c r="A48" t="s">
        <v>290</v>
      </c>
      <c r="B48" t="s">
        <v>289</v>
      </c>
      <c r="C48">
        <f>IF(cleaned_data!K48="Registered",1,0)</f>
        <v>1</v>
      </c>
      <c r="D48">
        <f>IF(cleaned_data!L48="Yes",1,0)</f>
        <v>1</v>
      </c>
      <c r="E48">
        <f>IF(cleaned_data!M48="Yes",1,0)</f>
        <v>1</v>
      </c>
      <c r="F48">
        <f>IF(cleaned_data!O48="Unknown","",IF(cleaned_data!O48="Yes",1,0))</f>
        <v>1</v>
      </c>
      <c r="G48" cm="1">
        <f t="array" ref="G48">_xlfn.IFS(cleaned_data!N48="Owned",1,cleaned_data!N48="Leased",0.75,cleaned_data!N48="State land",0.5,cleaned_data!N48="Communal",0.25)</f>
        <v>0.75</v>
      </c>
      <c r="H48" s="2" cm="1">
        <f t="array" ref="H48">_xlfn.IFS(cleaned_data!G48&gt;=10,1,cleaned_data!G48&gt;=5,0.75,cleaned_data!G48&gt;=2,0.5,TRUE,0.25)</f>
        <v>1</v>
      </c>
      <c r="I48">
        <f>IF(cleaned_data!P48="None",0,1)</f>
        <v>0</v>
      </c>
      <c r="J48" s="2" cm="1">
        <f t="array" ref="J48">_xlfn.IFS(cleaned_data!H48&gt;=20,1,cleaned_data!H48&gt;=10,0.75,cleaned_data!H48&gt;=5,0.5,cleaned_data!H48&gt;=1,0.25,TRUE,0)</f>
        <v>1</v>
      </c>
      <c r="K48" cm="1">
        <f t="array" ref="K48">_xlfn.IFS(cleaned_data!Q48&gt;=100000,1,cleaned_data!Q48&gt;=50000,0.75,cleaned_data!Q48&gt;=10000,0.5,TRUE,0.25)</f>
        <v>0.75</v>
      </c>
      <c r="L48" cm="1">
        <f t="array" ref="L48">_xlfn.IFS(cleaned_data!T48="","",cleaned_data!T48&lt;=10,1,cleaned_data!T48&lt;=25,0.75,cleaned_data!T48&lt;=40,0.5, cleaned_data!T48&gt;40,0.25)</f>
        <v>1</v>
      </c>
      <c r="M48">
        <f>IF(cleaned_data!U48="Yes",1,0)</f>
        <v>1</v>
      </c>
      <c r="N48" cm="1">
        <f t="array" ref="N48">_xlfn.IFS(cleaned_data!V48="Unknown","",cleaned_data!V48="Yes",1,TRUE,0)</f>
        <v>0</v>
      </c>
      <c r="O48" cm="1">
        <f t="array" ref="O48">_xlfn.IFS(cleaned_data!S48&gt;=4,1,cleaned_data!S48=3,0.75,cleaned_data!S48=2,0.5,cleaned_data!S48=1,0.25,TRUE,0)</f>
        <v>0.75</v>
      </c>
      <c r="P48" cm="1">
        <f t="array" ref="P48">_xlfn.IFS(cleaned_data!AB48&gt;=50,1,cleaned_data!AB48&gt;=35,0.75,cleaned_data!AB48&gt;=20,0.5,TRUE,0.25)</f>
        <v>0.5</v>
      </c>
      <c r="Q48" cm="1">
        <f t="array" ref="Q48">_xlfn.IFS(cleaned_data!X48&gt;=5,1,cleaned_data!X48&gt;=3,0.75,cleaned_data!X48=2,0.5,cleaned_data!X48=1,0.25,TRUE,0)</f>
        <v>1</v>
      </c>
      <c r="R48">
        <f>IF(cleaned_data!Y48="Yes",1,0)</f>
        <v>1</v>
      </c>
      <c r="S48">
        <f>IF(OR(cleaned_data!AF48="GlobalG.A.P.",cleaned_data!AF48="Fairtrade",cleaned_data!AF48="Organic (CERES)"),1,
IF(OR(cleaned_data!AF48="SIZA",cleaned_data!AF48="Woolworths TNC",cleaned_data!AF48="Checkers Good Farming"),0.75,
IF(cleaned_data!AF48="No Certificate",0,
IF(cleaned_data!AF48="Unknown","",""))))</f>
        <v>1</v>
      </c>
      <c r="T48">
        <f>IF(cleaned_data!AG48="Yes",1,0)</f>
        <v>1</v>
      </c>
      <c r="U48">
        <f>IF(OR(cleaned_data!AD48="No Loan",cleaned_data!AD48="Settled",cleaned_data!AD48="Current"),1,
IF(cleaned_data!AD48="In Arrears",0.5,
IF(cleaned_data!AD48="Defaulted",0,
IF(cleaned_data!AD48="Unknown","",""))))</f>
        <v>1</v>
      </c>
      <c r="V48" cm="1">
        <f t="array" ref="V48">_xlfn.IFS(cleaned_data!AE48&lt;=0.2,1,
cleaned_data!AE48&lt;=0.5,0.75,
cleaned_data!AE48&lt;=1,0.5,
cleaned_data!AE48&gt;1,0.25)</f>
        <v>0.75</v>
      </c>
      <c r="W48">
        <f>IF(cleaned_data!AJ48="Yes",1,0)</f>
        <v>1</v>
      </c>
      <c r="X48" s="2" cm="1">
        <f t="array" ref="X48">_xlfn.IFS(cleaned_data!AM48="Yes", 1,
cleaned_data!AM48="No", 0,
cleaned_data!AM48="Unknown", "")</f>
        <v>0</v>
      </c>
      <c r="Y48" cm="1">
        <f t="array" ref="Y48">_xlfn.IFS(cleaned_data!AK48="Solar", 1,
cleaned_data!AK48="Generator", 0.75,
cleaned_data!AK48="Eskom grid", 0.5,
TRUE, "")</f>
        <v>0.5</v>
      </c>
      <c r="Z48" cm="1">
        <f t="array" ref="Z48">_xlfn.IFS(cleaned_data!AL48="", "",
cleaned_data!AL48&lt;=8, 1,
cleaned_data!AL48&lt;=14, 0.75,
cleaned_data!AL48&lt;=21, 0.5,
cleaned_data!AL48&gt;=22, 0.25)</f>
        <v>0.25</v>
      </c>
      <c r="AA48" cm="1">
        <f t="array" ref="AA48">_xlfn.IFS(cleaned_data!AH48=0, 1,
cleaned_data!AH48=1, 0.75,
cleaned_data!AH48=2, 0.5,
cleaned_data!AH48&gt;=3, 0.25)</f>
        <v>0.25</v>
      </c>
      <c r="AB48" cm="1">
        <f t="array" ref="AB48">_xlfn.IFS(cleaned_data!AO48="", "",
cleaned_data!AO48&gt;=50, 1,
cleaned_data!AO48&gt;=30, 0.75,
cleaned_data!AO48&gt;=10, 0.5,
cleaned_data!AO48&lt;10, 0.25)</f>
        <v>1</v>
      </c>
      <c r="AC48" cm="1">
        <f t="array" ref="AC48">_xlfn.IFS(cleaned_data!AP48&gt;=50,1, cleaned_data!AP48&gt;=30,0.75, cleaned_data!AP48&gt;=10,0.5, cleaned_data!AP48&lt;10,0.25)</f>
        <v>0.5</v>
      </c>
      <c r="AD48" cm="1">
        <f t="array" ref="AD48">_xlfn.IFS(cleaned_data!AQ48&gt;=30,1,
cleaned_data!AQ48&gt;=20,0.75,
cleaned_data!AQ48&gt;=10,0.5,
cleaned_data!AQ48&lt;10,0.25)</f>
        <v>1</v>
      </c>
      <c r="AE48" cm="1">
        <f t="array" ref="AE48">_xlfn.IFS(cleaned_data!AR48&gt;=75,1,
cleaned_data!AR48&gt;=50,0.75,
cleaned_data!AR48&gt;=25,0.5,
cleaned_data!AR48&lt;25,0.25)</f>
        <v>0.5</v>
      </c>
      <c r="AF48">
        <f>IF(cleaned_data!AS48="Yes",1,0)</f>
        <v>0</v>
      </c>
    </row>
    <row r="49" spans="1:32" hidden="1" x14ac:dyDescent="0.35">
      <c r="A49" t="s">
        <v>286</v>
      </c>
      <c r="B49" t="s">
        <v>285</v>
      </c>
      <c r="C49">
        <f>IF(cleaned_data!K49="Registered",1,0)</f>
        <v>1</v>
      </c>
      <c r="D49">
        <f>IF(cleaned_data!L49="Yes",1,0)</f>
        <v>1</v>
      </c>
      <c r="E49">
        <f>IF(cleaned_data!M49="Yes",1,0)</f>
        <v>1</v>
      </c>
      <c r="F49">
        <f>IF(cleaned_data!O49="Unknown","",IF(cleaned_data!O49="Yes",1,0))</f>
        <v>1</v>
      </c>
      <c r="G49" cm="1">
        <f t="array" ref="G49">_xlfn.IFS(cleaned_data!N49="Owned",1,cleaned_data!N49="Leased",0.75,cleaned_data!N49="State land",0.5,cleaned_data!N49="Communal",0.25)</f>
        <v>1</v>
      </c>
      <c r="H49" s="2" cm="1">
        <f t="array" ref="H49">_xlfn.IFS(cleaned_data!G49&gt;=10,1,cleaned_data!G49&gt;=5,0.75,cleaned_data!G49&gt;=2,0.5,TRUE,0.25)</f>
        <v>1</v>
      </c>
      <c r="I49">
        <f>IF(cleaned_data!P49="None",0,1)</f>
        <v>1</v>
      </c>
      <c r="J49" s="2" cm="1">
        <f t="array" ref="J49">_xlfn.IFS(cleaned_data!H49&gt;=20,1,cleaned_data!H49&gt;=10,0.75,cleaned_data!H49&gt;=5,0.5,cleaned_data!H49&gt;=1,0.25,TRUE,0)</f>
        <v>1</v>
      </c>
      <c r="K49" cm="1">
        <f t="array" ref="K49">_xlfn.IFS(cleaned_data!Q49&gt;=100000,1,cleaned_data!Q49&gt;=50000,0.75,cleaned_data!Q49&gt;=10000,0.5,TRUE,0.25)</f>
        <v>1</v>
      </c>
      <c r="L49" cm="1">
        <f t="array" ref="L49">_xlfn.IFS(cleaned_data!T49="","",cleaned_data!T49&lt;=10,1,cleaned_data!T49&lt;=25,0.75,cleaned_data!T49&lt;=40,0.5, cleaned_data!T49&gt;40,0.25)</f>
        <v>1</v>
      </c>
      <c r="M49">
        <f>IF(cleaned_data!U49="Yes",1,0)</f>
        <v>1</v>
      </c>
      <c r="N49" cm="1">
        <f t="array" ref="N49">_xlfn.IFS(cleaned_data!V49="Unknown","",cleaned_data!V49="Yes",1,TRUE,0)</f>
        <v>0</v>
      </c>
      <c r="O49" cm="1">
        <f t="array" ref="O49">_xlfn.IFS(cleaned_data!S49&gt;=4,1,cleaned_data!S49=3,0.75,cleaned_data!S49=2,0.5,cleaned_data!S49=1,0.25,TRUE,0)</f>
        <v>0.5</v>
      </c>
      <c r="P49" cm="1">
        <f t="array" ref="P49">_xlfn.IFS(cleaned_data!AB49&gt;=50,1,cleaned_data!AB49&gt;=35,0.75,cleaned_data!AB49&gt;=20,0.5,TRUE,0.25)</f>
        <v>1</v>
      </c>
      <c r="Q49" cm="1">
        <f t="array" ref="Q49">_xlfn.IFS(cleaned_data!X49&gt;=5,1,cleaned_data!X49&gt;=3,0.75,cleaned_data!X49=2,0.5,cleaned_data!X49=1,0.25,TRUE,0)</f>
        <v>1</v>
      </c>
      <c r="R49">
        <f>IF(cleaned_data!Y49="Yes",1,0)</f>
        <v>1</v>
      </c>
      <c r="S49" t="str">
        <f>IF(OR(cleaned_data!AF49="GlobalG.A.P.",cleaned_data!AF49="Fairtrade",cleaned_data!AF49="Organic (CERES)"),1,
IF(OR(cleaned_data!AF49="SIZA",cleaned_data!AF49="Woolworths TNC",cleaned_data!AF49="Checkers Good Farming"),0.75,
IF(cleaned_data!AF49="No Certificate",0,
IF(cleaned_data!AF49="Unknown","",""))))</f>
        <v/>
      </c>
      <c r="T49">
        <f>IF(cleaned_data!AG49="Yes",1,0)</f>
        <v>0</v>
      </c>
      <c r="U49">
        <f>IF(OR(cleaned_data!AD49="No Loan",cleaned_data!AD49="Settled",cleaned_data!AD49="Current"),1,
IF(cleaned_data!AD49="In Arrears",0.5,
IF(cleaned_data!AD49="Defaulted",0,
IF(cleaned_data!AD49="Unknown","",""))))</f>
        <v>1</v>
      </c>
      <c r="V49" cm="1">
        <f t="array" ref="V49">_xlfn.IFS(cleaned_data!AE49&lt;=0.2,1,
cleaned_data!AE49&lt;=0.5,0.75,
cleaned_data!AE49&lt;=1,0.5,
cleaned_data!AE49&gt;1,0.25)</f>
        <v>1</v>
      </c>
      <c r="W49">
        <f>IF(cleaned_data!AJ49="Yes",1,0)</f>
        <v>1</v>
      </c>
      <c r="X49" s="2" cm="1">
        <f t="array" ref="X49">_xlfn.IFS(cleaned_data!AM49="Yes", 1,
cleaned_data!AM49="No", 0,
cleaned_data!AM49="Unknown", "")</f>
        <v>1</v>
      </c>
      <c r="Y49" cm="1">
        <f t="array" ref="Y49">_xlfn.IFS(cleaned_data!AK49="Solar", 1,
cleaned_data!AK49="Generator", 0.75,
cleaned_data!AK49="Eskom grid", 0.5,
TRUE, "")</f>
        <v>0.75</v>
      </c>
      <c r="Z49" cm="1">
        <f t="array" ref="Z49">_xlfn.IFS(cleaned_data!AL49="", "",
cleaned_data!AL49&lt;=8, 1,
cleaned_data!AL49&lt;=14, 0.75,
cleaned_data!AL49&lt;=21, 0.5,
cleaned_data!AL49&gt;=22, 0.25)</f>
        <v>1</v>
      </c>
      <c r="AA49" cm="1">
        <f t="array" ref="AA49">_xlfn.IFS(cleaned_data!AH49=0, 1,
cleaned_data!AH49=1, 0.75,
cleaned_data!AH49=2, 0.5,
cleaned_data!AH49&gt;=3, 0.25)</f>
        <v>1</v>
      </c>
      <c r="AB49" cm="1">
        <f t="array" ref="AB49">_xlfn.IFS(cleaned_data!AO49="", "",
cleaned_data!AO49&gt;=50, 1,
cleaned_data!AO49&gt;=30, 0.75,
cleaned_data!AO49&gt;=10, 0.5,
cleaned_data!AO49&lt;10, 0.25)</f>
        <v>0.75</v>
      </c>
      <c r="AC49" cm="1">
        <f t="array" ref="AC49">_xlfn.IFS(cleaned_data!AP49&gt;=50,1, cleaned_data!AP49&gt;=30,0.75, cleaned_data!AP49&gt;=10,0.5, cleaned_data!AP49&lt;10,0.25)</f>
        <v>1</v>
      </c>
      <c r="AD49" cm="1">
        <f t="array" ref="AD49">_xlfn.IFS(cleaned_data!AQ49&gt;=30,1,
cleaned_data!AQ49&gt;=20,0.75,
cleaned_data!AQ49&gt;=10,0.5,
cleaned_data!AQ49&lt;10,0.25)</f>
        <v>0.25</v>
      </c>
      <c r="AE49" cm="1">
        <f t="array" ref="AE49">_xlfn.IFS(cleaned_data!AR49&gt;=75,1,
cleaned_data!AR49&gt;=50,0.75,
cleaned_data!AR49&gt;=25,0.5,
cleaned_data!AR49&lt;25,0.25)</f>
        <v>1</v>
      </c>
      <c r="AF49">
        <f>IF(cleaned_data!AS49="Yes",1,0)</f>
        <v>0</v>
      </c>
    </row>
    <row r="50" spans="1:32" x14ac:dyDescent="0.35">
      <c r="A50" t="s">
        <v>283</v>
      </c>
      <c r="B50" t="s">
        <v>180</v>
      </c>
      <c r="C50">
        <f>IF(cleaned_data!K50="Registered",1,0)</f>
        <v>1</v>
      </c>
      <c r="D50">
        <f>IF(cleaned_data!L50="Yes",1,0)</f>
        <v>0</v>
      </c>
      <c r="E50">
        <f>IF(cleaned_data!M50="Yes",1,0)</f>
        <v>1</v>
      </c>
      <c r="F50">
        <f>IF(cleaned_data!O50="Unknown","",IF(cleaned_data!O50="Yes",1,0))</f>
        <v>0</v>
      </c>
      <c r="G50" cm="1">
        <f t="array" ref="G50">_xlfn.IFS(cleaned_data!N50="Owned",1,cleaned_data!N50="Leased",0.75,cleaned_data!N50="State land",0.5,cleaned_data!N50="Communal",0.25)</f>
        <v>1</v>
      </c>
      <c r="H50" s="2" cm="1">
        <f t="array" ref="H50">_xlfn.IFS(cleaned_data!G50&gt;=10,1,cleaned_data!G50&gt;=5,0.75,cleaned_data!G50&gt;=2,0.5,TRUE,0.25)</f>
        <v>1</v>
      </c>
      <c r="I50">
        <f>IF(cleaned_data!P50="None",0,1)</f>
        <v>1</v>
      </c>
      <c r="J50" s="2" cm="1">
        <f t="array" ref="J50">_xlfn.IFS(cleaned_data!H50&gt;=20,1,cleaned_data!H50&gt;=10,0.75,cleaned_data!H50&gt;=5,0.5,cleaned_data!H50&gt;=1,0.25,TRUE,0)</f>
        <v>1</v>
      </c>
      <c r="K50" cm="1">
        <f t="array" ref="K50">_xlfn.IFS(cleaned_data!Q50&gt;=100000,1,cleaned_data!Q50&gt;=50000,0.75,cleaned_data!Q50&gt;=10000,0.5,TRUE,0.25)</f>
        <v>1</v>
      </c>
      <c r="L50" cm="1">
        <f t="array" ref="L50">_xlfn.IFS(cleaned_data!T50="","",cleaned_data!T50&lt;=10,1,cleaned_data!T50&lt;=25,0.75,cleaned_data!T50&lt;=40,0.5, cleaned_data!T50&gt;40,0.25)</f>
        <v>1</v>
      </c>
      <c r="M50">
        <f>IF(cleaned_data!U50="Yes",1,0)</f>
        <v>1</v>
      </c>
      <c r="N50" cm="1">
        <f t="array" ref="N50">_xlfn.IFS(cleaned_data!V50="Unknown","",cleaned_data!V50="Yes",1,TRUE,0)</f>
        <v>1</v>
      </c>
      <c r="O50" cm="1">
        <f t="array" ref="O50">_xlfn.IFS(cleaned_data!S50&gt;=4,1,cleaned_data!S50=3,0.75,cleaned_data!S50=2,0.5,cleaned_data!S50=1,0.25,TRUE,0)</f>
        <v>1</v>
      </c>
      <c r="P50" cm="1">
        <f t="array" ref="P50">_xlfn.IFS(cleaned_data!AB50&gt;=50,1,cleaned_data!AB50&gt;=35,0.75,cleaned_data!AB50&gt;=20,0.5,TRUE,0.25)</f>
        <v>0.5</v>
      </c>
      <c r="Q50" cm="1">
        <f t="array" ref="Q50">_xlfn.IFS(cleaned_data!X50&gt;=5,1,cleaned_data!X50&gt;=3,0.75,cleaned_data!X50=2,0.5,cleaned_data!X50=1,0.25,TRUE,0)</f>
        <v>1</v>
      </c>
      <c r="R50">
        <f>IF(cleaned_data!Y50="Yes",1,0)</f>
        <v>0</v>
      </c>
      <c r="S50">
        <f>IF(OR(cleaned_data!AF50="GlobalG.A.P.",cleaned_data!AF50="Fairtrade",cleaned_data!AF50="Organic (CERES)"),1,
IF(OR(cleaned_data!AF50="SIZA",cleaned_data!AF50="Woolworths TNC",cleaned_data!AF50="Checkers Good Farming"),0.75,
IF(cleaned_data!AF50="No Certificate",0,
IF(cleaned_data!AF50="Unknown","",""))))</f>
        <v>0.75</v>
      </c>
      <c r="T50">
        <f>IF(cleaned_data!AG50="Yes",1,0)</f>
        <v>0</v>
      </c>
      <c r="U50">
        <f>IF(OR(cleaned_data!AD50="No Loan",cleaned_data!AD50="Settled",cleaned_data!AD50="Current"),1,
IF(cleaned_data!AD50="In Arrears",0.5,
IF(cleaned_data!AD50="Defaulted",0,
IF(cleaned_data!AD50="Unknown","",""))))</f>
        <v>1</v>
      </c>
      <c r="V50" cm="1">
        <f t="array" ref="V50">_xlfn.IFS(cleaned_data!AE50&lt;=0.2,1,
cleaned_data!AE50&lt;=0.5,0.75,
cleaned_data!AE50&lt;=1,0.5,
cleaned_data!AE50&gt;1,0.25)</f>
        <v>1</v>
      </c>
      <c r="W50">
        <f>IF(cleaned_data!AJ50="Yes",1,0)</f>
        <v>1</v>
      </c>
      <c r="X50" s="2" cm="1">
        <f t="array" ref="X50">_xlfn.IFS(cleaned_data!AM50="Yes", 1,
cleaned_data!AM50="No", 0,
cleaned_data!AM50="Unknown", "")</f>
        <v>0</v>
      </c>
      <c r="Y50" cm="1">
        <f t="array" ref="Y50">_xlfn.IFS(cleaned_data!AK50="Solar", 1,
cleaned_data!AK50="Generator", 0.75,
cleaned_data!AK50="Eskom grid", 0.5,
TRUE, "")</f>
        <v>1</v>
      </c>
      <c r="Z50" cm="1">
        <f t="array" ref="Z50">_xlfn.IFS(cleaned_data!AL50="", "",
cleaned_data!AL50&lt;=8, 1,
cleaned_data!AL50&lt;=14, 0.75,
cleaned_data!AL50&lt;=21, 0.5,
cleaned_data!AL50&gt;=22, 0.25)</f>
        <v>1</v>
      </c>
      <c r="AA50" cm="1">
        <f t="array" ref="AA50">_xlfn.IFS(cleaned_data!AH50=0, 1,
cleaned_data!AH50=1, 0.75,
cleaned_data!AH50=2, 0.5,
cleaned_data!AH50&gt;=3, 0.25)</f>
        <v>0.25</v>
      </c>
      <c r="AB50" cm="1">
        <f t="array" ref="AB50">_xlfn.IFS(cleaned_data!AO50="", "",
cleaned_data!AO50&gt;=50, 1,
cleaned_data!AO50&gt;=30, 0.75,
cleaned_data!AO50&gt;=10, 0.5,
cleaned_data!AO50&lt;10, 0.25)</f>
        <v>1</v>
      </c>
      <c r="AC50" cm="1">
        <f t="array" ref="AC50">_xlfn.IFS(cleaned_data!AP50&gt;=50,1, cleaned_data!AP50&gt;=30,0.75, cleaned_data!AP50&gt;=10,0.5, cleaned_data!AP50&lt;10,0.25)</f>
        <v>0.5</v>
      </c>
      <c r="AD50" cm="1">
        <f t="array" ref="AD50">_xlfn.IFS(cleaned_data!AQ50&gt;=30,1,
cleaned_data!AQ50&gt;=20,0.75,
cleaned_data!AQ50&gt;=10,0.5,
cleaned_data!AQ50&lt;10,0.25)</f>
        <v>1</v>
      </c>
      <c r="AE50" cm="1">
        <f t="array" ref="AE50">_xlfn.IFS(cleaned_data!AR50&gt;=75,1,
cleaned_data!AR50&gt;=50,0.75,
cleaned_data!AR50&gt;=25,0.5,
cleaned_data!AR50&lt;25,0.25)</f>
        <v>1</v>
      </c>
      <c r="AF50">
        <f>IF(cleaned_data!AS50="Yes",1,0)</f>
        <v>1</v>
      </c>
    </row>
    <row r="51" spans="1:32" hidden="1" x14ac:dyDescent="0.35">
      <c r="A51" t="s">
        <v>281</v>
      </c>
      <c r="B51" t="s">
        <v>280</v>
      </c>
      <c r="C51">
        <f>IF(cleaned_data!K51="Registered",1,0)</f>
        <v>1</v>
      </c>
      <c r="D51">
        <f>IF(cleaned_data!L51="Yes",1,0)</f>
        <v>1</v>
      </c>
      <c r="E51">
        <f>IF(cleaned_data!M51="Yes",1,0)</f>
        <v>1</v>
      </c>
      <c r="F51">
        <f>IF(cleaned_data!O51="Unknown","",IF(cleaned_data!O51="Yes",1,0))</f>
        <v>1</v>
      </c>
      <c r="G51" cm="1">
        <f t="array" ref="G51">_xlfn.IFS(cleaned_data!N51="Owned",1,cleaned_data!N51="Leased",0.75,cleaned_data!N51="State land",0.5,cleaned_data!N51="Communal",0.25)</f>
        <v>1</v>
      </c>
      <c r="H51" s="2" cm="1">
        <f t="array" ref="H51">_xlfn.IFS(cleaned_data!G51&gt;=10,1,cleaned_data!G51&gt;=5,0.75,cleaned_data!G51&gt;=2,0.5,TRUE,0.25)</f>
        <v>1</v>
      </c>
      <c r="I51">
        <f>IF(cleaned_data!P51="None",0,1)</f>
        <v>1</v>
      </c>
      <c r="J51" s="2" cm="1">
        <f t="array" ref="J51">_xlfn.IFS(cleaned_data!H51&gt;=20,1,cleaned_data!H51&gt;=10,0.75,cleaned_data!H51&gt;=5,0.5,cleaned_data!H51&gt;=1,0.25,TRUE,0)</f>
        <v>1</v>
      </c>
      <c r="K51" cm="1">
        <f t="array" ref="K51">_xlfn.IFS(cleaned_data!Q51&gt;=100000,1,cleaned_data!Q51&gt;=50000,0.75,cleaned_data!Q51&gt;=10000,0.5,TRUE,0.25)</f>
        <v>1</v>
      </c>
      <c r="L51" cm="1">
        <f t="array" ref="L51">_xlfn.IFS(cleaned_data!T51="","",cleaned_data!T51&lt;=10,1,cleaned_data!T51&lt;=25,0.75,cleaned_data!T51&lt;=40,0.5, cleaned_data!T51&gt;40,0.25)</f>
        <v>0.75</v>
      </c>
      <c r="M51">
        <f>IF(cleaned_data!U51="Yes",1,0)</f>
        <v>1</v>
      </c>
      <c r="N51" cm="1">
        <f t="array" ref="N51">_xlfn.IFS(cleaned_data!V51="Unknown","",cleaned_data!V51="Yes",1,TRUE,0)</f>
        <v>1</v>
      </c>
      <c r="O51" cm="1">
        <f t="array" ref="O51">_xlfn.IFS(cleaned_data!S51&gt;=4,1,cleaned_data!S51=3,0.75,cleaned_data!S51=2,0.5,cleaned_data!S51=1,0.25,TRUE,0)</f>
        <v>0.25</v>
      </c>
      <c r="P51" cm="1">
        <f t="array" ref="P51">_xlfn.IFS(cleaned_data!AB51&gt;=50,1,cleaned_data!AB51&gt;=35,0.75,cleaned_data!AB51&gt;=20,0.5,TRUE,0.25)</f>
        <v>1</v>
      </c>
      <c r="Q51" cm="1">
        <f t="array" ref="Q51">_xlfn.IFS(cleaned_data!X51&gt;=5,1,cleaned_data!X51&gt;=3,0.75,cleaned_data!X51=2,0.5,cleaned_data!X51=1,0.25,TRUE,0)</f>
        <v>1</v>
      </c>
      <c r="R51">
        <f>IF(cleaned_data!Y51="Yes",1,0)</f>
        <v>1</v>
      </c>
      <c r="S51">
        <f>IF(OR(cleaned_data!AF51="GlobalG.A.P.",cleaned_data!AF51="Fairtrade",cleaned_data!AF51="Organic (CERES)"),1,
IF(OR(cleaned_data!AF51="SIZA",cleaned_data!AF51="Woolworths TNC",cleaned_data!AF51="Checkers Good Farming"),0.75,
IF(cleaned_data!AF51="No Certificate",0,
IF(cleaned_data!AF51="Unknown","",""))))</f>
        <v>1</v>
      </c>
      <c r="T51">
        <f>IF(cleaned_data!AG51="Yes",1,0)</f>
        <v>0</v>
      </c>
      <c r="U51">
        <f>IF(OR(cleaned_data!AD51="No Loan",cleaned_data!AD51="Settled",cleaned_data!AD51="Current"),1,
IF(cleaned_data!AD51="In Arrears",0.5,
IF(cleaned_data!AD51="Defaulted",0,
IF(cleaned_data!AD51="Unknown","",""))))</f>
        <v>1</v>
      </c>
      <c r="V51" cm="1">
        <f t="array" ref="V51">_xlfn.IFS(cleaned_data!AE51&lt;=0.2,1,
cleaned_data!AE51&lt;=0.5,0.75,
cleaned_data!AE51&lt;=1,0.5,
cleaned_data!AE51&gt;1,0.25)</f>
        <v>1</v>
      </c>
      <c r="W51">
        <f>IF(cleaned_data!AJ51="Yes",1,0)</f>
        <v>1</v>
      </c>
      <c r="X51" s="2" cm="1">
        <f t="array" ref="X51">_xlfn.IFS(cleaned_data!AM51="Yes", 1,
cleaned_data!AM51="No", 0,
cleaned_data!AM51="Unknown", "")</f>
        <v>0</v>
      </c>
      <c r="Y51" cm="1">
        <f t="array" ref="Y51">_xlfn.IFS(cleaned_data!AK51="Solar", 1,
cleaned_data!AK51="Generator", 0.75,
cleaned_data!AK51="Eskom grid", 0.5,
TRUE, "")</f>
        <v>0.5</v>
      </c>
      <c r="Z51" cm="1">
        <f t="array" ref="Z51">_xlfn.IFS(cleaned_data!AL51="", "",
cleaned_data!AL51&lt;=8, 1,
cleaned_data!AL51&lt;=14, 0.75,
cleaned_data!AL51&lt;=21, 0.5,
cleaned_data!AL51&gt;=22, 0.25)</f>
        <v>0.75</v>
      </c>
      <c r="AA51" cm="1">
        <f t="array" ref="AA51">_xlfn.IFS(cleaned_data!AH51=0, 1,
cleaned_data!AH51=1, 0.75,
cleaned_data!AH51=2, 0.5,
cleaned_data!AH51&gt;=3, 0.25)</f>
        <v>1</v>
      </c>
      <c r="AB51" cm="1">
        <f t="array" ref="AB51">_xlfn.IFS(cleaned_data!AO51="", "",
cleaned_data!AO51&gt;=50, 1,
cleaned_data!AO51&gt;=30, 0.75,
cleaned_data!AO51&gt;=10, 0.5,
cleaned_data!AO51&lt;10, 0.25)</f>
        <v>0.75</v>
      </c>
      <c r="AC51" cm="1">
        <f t="array" ref="AC51">_xlfn.IFS(cleaned_data!AP51&gt;=50,1, cleaned_data!AP51&gt;=30,0.75, cleaned_data!AP51&gt;=10,0.5, cleaned_data!AP51&lt;10,0.25)</f>
        <v>1</v>
      </c>
      <c r="AD51" cm="1">
        <f t="array" ref="AD51">_xlfn.IFS(cleaned_data!AQ51&gt;=30,1,
cleaned_data!AQ51&gt;=20,0.75,
cleaned_data!AQ51&gt;=10,0.5,
cleaned_data!AQ51&lt;10,0.25)</f>
        <v>0.75</v>
      </c>
      <c r="AE51" cm="1">
        <f t="array" ref="AE51">_xlfn.IFS(cleaned_data!AR51&gt;=75,1,
cleaned_data!AR51&gt;=50,0.75,
cleaned_data!AR51&gt;=25,0.5,
cleaned_data!AR51&lt;25,0.25)</f>
        <v>1</v>
      </c>
      <c r="AF51">
        <f>IF(cleaned_data!AS51="Yes",1,0)</f>
        <v>0</v>
      </c>
    </row>
    <row r="52" spans="1:32" hidden="1" x14ac:dyDescent="0.35">
      <c r="A52" t="s">
        <v>277</v>
      </c>
      <c r="B52" t="s">
        <v>276</v>
      </c>
      <c r="C52">
        <f>IF(cleaned_data!K52="Registered",1,0)</f>
        <v>0</v>
      </c>
      <c r="D52">
        <f>IF(cleaned_data!L52="Yes",1,0)</f>
        <v>1</v>
      </c>
      <c r="E52">
        <f>IF(cleaned_data!M52="Yes",1,0)</f>
        <v>1</v>
      </c>
      <c r="F52">
        <f>IF(cleaned_data!O52="Unknown","",IF(cleaned_data!O52="Yes",1,0))</f>
        <v>0</v>
      </c>
      <c r="G52" cm="1">
        <f t="array" ref="G52">_xlfn.IFS(cleaned_data!N52="Owned",1,cleaned_data!N52="Leased",0.75,cleaned_data!N52="State land",0.5,cleaned_data!N52="Communal",0.25)</f>
        <v>1</v>
      </c>
      <c r="H52" s="2" cm="1">
        <f t="array" ref="H52">_xlfn.IFS(cleaned_data!G52&gt;=10,1,cleaned_data!G52&gt;=5,0.75,cleaned_data!G52&gt;=2,0.5,TRUE,0.25)</f>
        <v>1</v>
      </c>
      <c r="I52">
        <f>IF(cleaned_data!P52="None",0,1)</f>
        <v>0</v>
      </c>
      <c r="J52" s="2" cm="1">
        <f t="array" ref="J52">_xlfn.IFS(cleaned_data!H52&gt;=20,1,cleaned_data!H52&gt;=10,0.75,cleaned_data!H52&gt;=5,0.5,cleaned_data!H52&gt;=1,0.25,TRUE,0)</f>
        <v>0.5</v>
      </c>
      <c r="K52" cm="1">
        <f t="array" ref="K52">_xlfn.IFS(cleaned_data!Q52&gt;=100000,1,cleaned_data!Q52&gt;=50000,0.75,cleaned_data!Q52&gt;=10000,0.5,TRUE,0.25)</f>
        <v>1</v>
      </c>
      <c r="L52" cm="1">
        <f t="array" ref="L52">_xlfn.IFS(cleaned_data!T52="","",cleaned_data!T52&lt;=10,1,cleaned_data!T52&lt;=25,0.75,cleaned_data!T52&lt;=40,0.5, cleaned_data!T52&gt;40,0.25)</f>
        <v>0.75</v>
      </c>
      <c r="M52">
        <f>IF(cleaned_data!U52="Yes",1,0)</f>
        <v>1</v>
      </c>
      <c r="N52" cm="1">
        <f t="array" ref="N52">_xlfn.IFS(cleaned_data!V52="Unknown","",cleaned_data!V52="Yes",1,TRUE,0)</f>
        <v>0</v>
      </c>
      <c r="O52" cm="1">
        <f t="array" ref="O52">_xlfn.IFS(cleaned_data!S52&gt;=4,1,cleaned_data!S52=3,0.75,cleaned_data!S52=2,0.5,cleaned_data!S52=1,0.25,TRUE,0)</f>
        <v>1</v>
      </c>
      <c r="P52" cm="1">
        <f t="array" ref="P52">_xlfn.IFS(cleaned_data!AB52&gt;=50,1,cleaned_data!AB52&gt;=35,0.75,cleaned_data!AB52&gt;=20,0.5,TRUE,0.25)</f>
        <v>0.5</v>
      </c>
      <c r="Q52" cm="1">
        <f t="array" ref="Q52">_xlfn.IFS(cleaned_data!X52&gt;=5,1,cleaned_data!X52&gt;=3,0.75,cleaned_data!X52=2,0.5,cleaned_data!X52=1,0.25,TRUE,0)</f>
        <v>0.75</v>
      </c>
      <c r="R52">
        <f>IF(cleaned_data!Y52="Yes",1,0)</f>
        <v>1</v>
      </c>
      <c r="S52">
        <f>IF(OR(cleaned_data!AF52="GlobalG.A.P.",cleaned_data!AF52="Fairtrade",cleaned_data!AF52="Organic (CERES)"),1,
IF(OR(cleaned_data!AF52="SIZA",cleaned_data!AF52="Woolworths TNC",cleaned_data!AF52="Checkers Good Farming"),0.75,
IF(cleaned_data!AF52="No Certificate",0,
IF(cleaned_data!AF52="Unknown","",""))))</f>
        <v>1</v>
      </c>
      <c r="T52">
        <f>IF(cleaned_data!AG52="Yes",1,0)</f>
        <v>1</v>
      </c>
      <c r="U52">
        <f>IF(OR(cleaned_data!AD52="No Loan",cleaned_data!AD52="Settled",cleaned_data!AD52="Current"),1,
IF(cleaned_data!AD52="In Arrears",0.5,
IF(cleaned_data!AD52="Defaulted",0,
IF(cleaned_data!AD52="Unknown","",""))))</f>
        <v>1</v>
      </c>
      <c r="V52" cm="1">
        <f t="array" ref="V52">_xlfn.IFS(cleaned_data!AE52&lt;=0.2,1,
cleaned_data!AE52&lt;=0.5,0.75,
cleaned_data!AE52&lt;=1,0.5,
cleaned_data!AE52&gt;1,0.25)</f>
        <v>1</v>
      </c>
      <c r="W52">
        <f>IF(cleaned_data!AJ52="Yes",1,0)</f>
        <v>1</v>
      </c>
      <c r="X52" s="2" cm="1">
        <f t="array" ref="X52">_xlfn.IFS(cleaned_data!AM52="Yes", 1,
cleaned_data!AM52="No", 0,
cleaned_data!AM52="Unknown", "")</f>
        <v>1</v>
      </c>
      <c r="Y52" cm="1">
        <f t="array" ref="Y52">_xlfn.IFS(cleaned_data!AK52="Solar", 1,
cleaned_data!AK52="Generator", 0.75,
cleaned_data!AK52="Eskom grid", 0.5,
TRUE, "")</f>
        <v>0.75</v>
      </c>
      <c r="Z52" cm="1">
        <f t="array" ref="Z52">_xlfn.IFS(cleaned_data!AL52="", "",
cleaned_data!AL52&lt;=8, 1,
cleaned_data!AL52&lt;=14, 0.75,
cleaned_data!AL52&lt;=21, 0.5,
cleaned_data!AL52&gt;=22, 0.25)</f>
        <v>1</v>
      </c>
      <c r="AA52" cm="1">
        <f t="array" ref="AA52">_xlfn.IFS(cleaned_data!AH52=0, 1,
cleaned_data!AH52=1, 0.75,
cleaned_data!AH52=2, 0.5,
cleaned_data!AH52&gt;=3, 0.25)</f>
        <v>0.25</v>
      </c>
      <c r="AB52" cm="1">
        <f t="array" ref="AB52">_xlfn.IFS(cleaned_data!AO52="", "",
cleaned_data!AO52&gt;=50, 1,
cleaned_data!AO52&gt;=30, 0.75,
cleaned_data!AO52&gt;=10, 0.5,
cleaned_data!AO52&lt;10, 0.25)</f>
        <v>0.5</v>
      </c>
      <c r="AC52" cm="1">
        <f t="array" ref="AC52">_xlfn.IFS(cleaned_data!AP52&gt;=50,1, cleaned_data!AP52&gt;=30,0.75, cleaned_data!AP52&gt;=10,0.5, cleaned_data!AP52&lt;10,0.25)</f>
        <v>0.5</v>
      </c>
      <c r="AD52" cm="1">
        <f t="array" ref="AD52">_xlfn.IFS(cleaned_data!AQ52&gt;=30,1,
cleaned_data!AQ52&gt;=20,0.75,
cleaned_data!AQ52&gt;=10,0.5,
cleaned_data!AQ52&lt;10,0.25)</f>
        <v>1</v>
      </c>
      <c r="AE52" cm="1">
        <f t="array" ref="AE52">_xlfn.IFS(cleaned_data!AR52&gt;=75,1,
cleaned_data!AR52&gt;=50,0.75,
cleaned_data!AR52&gt;=25,0.5,
cleaned_data!AR52&lt;25,0.25)</f>
        <v>0.5</v>
      </c>
      <c r="AF52">
        <f>IF(cleaned_data!AS52="Yes",1,0)</f>
        <v>0</v>
      </c>
    </row>
    <row r="53" spans="1:32" hidden="1" x14ac:dyDescent="0.35">
      <c r="A53" t="s">
        <v>275</v>
      </c>
      <c r="B53" t="s">
        <v>172</v>
      </c>
      <c r="C53">
        <f>IF(cleaned_data!K53="Registered",1,0)</f>
        <v>0</v>
      </c>
      <c r="D53">
        <f>IF(cleaned_data!L53="Yes",1,0)</f>
        <v>0</v>
      </c>
      <c r="E53">
        <f>IF(cleaned_data!M53="Yes",1,0)</f>
        <v>1</v>
      </c>
      <c r="F53">
        <f>IF(cleaned_data!O53="Unknown","",IF(cleaned_data!O53="Yes",1,0))</f>
        <v>1</v>
      </c>
      <c r="G53" cm="1">
        <f t="array" ref="G53">_xlfn.IFS(cleaned_data!N53="Owned",1,cleaned_data!N53="Leased",0.75,cleaned_data!N53="State land",0.5,cleaned_data!N53="Communal",0.25)</f>
        <v>1</v>
      </c>
      <c r="H53" s="2" cm="1">
        <f t="array" ref="H53">_xlfn.IFS(cleaned_data!G53&gt;=10,1,cleaned_data!G53&gt;=5,0.75,cleaned_data!G53&gt;=2,0.5,TRUE,0.25)</f>
        <v>0.5</v>
      </c>
      <c r="I53">
        <f>IF(cleaned_data!P53="None",0,1)</f>
        <v>1</v>
      </c>
      <c r="J53" s="2" cm="1">
        <f t="array" ref="J53">_xlfn.IFS(cleaned_data!H53&gt;=20,1,cleaned_data!H53&gt;=10,0.75,cleaned_data!H53&gt;=5,0.5,cleaned_data!H53&gt;=1,0.25,TRUE,0)</f>
        <v>1</v>
      </c>
      <c r="K53" cm="1">
        <f t="array" ref="K53">_xlfn.IFS(cleaned_data!Q53&gt;=100000,1,cleaned_data!Q53&gt;=50000,0.75,cleaned_data!Q53&gt;=10000,0.5,TRUE,0.25)</f>
        <v>0.75</v>
      </c>
      <c r="L53" cm="1">
        <f t="array" ref="L53">_xlfn.IFS(cleaned_data!T53="","",cleaned_data!T53&lt;=10,1,cleaned_data!T53&lt;=25,0.75,cleaned_data!T53&lt;=40,0.5, cleaned_data!T53&gt;40,0.25)</f>
        <v>0.5</v>
      </c>
      <c r="M53">
        <f>IF(cleaned_data!U53="Yes",1,0)</f>
        <v>0</v>
      </c>
      <c r="N53" cm="1">
        <f t="array" ref="N53">_xlfn.IFS(cleaned_data!V53="Unknown","",cleaned_data!V53="Yes",1,TRUE,0)</f>
        <v>0</v>
      </c>
      <c r="O53" cm="1">
        <f t="array" ref="O53">_xlfn.IFS(cleaned_data!S53&gt;=4,1,cleaned_data!S53=3,0.75,cleaned_data!S53=2,0.5,cleaned_data!S53=1,0.25,TRUE,0)</f>
        <v>0.75</v>
      </c>
      <c r="P53" cm="1">
        <f t="array" ref="P53">_xlfn.IFS(cleaned_data!AB53&gt;=50,1,cleaned_data!AB53&gt;=35,0.75,cleaned_data!AB53&gt;=20,0.5,TRUE,0.25)</f>
        <v>1</v>
      </c>
      <c r="Q53" cm="1">
        <f t="array" ref="Q53">_xlfn.IFS(cleaned_data!X53&gt;=5,1,cleaned_data!X53&gt;=3,0.75,cleaned_data!X53=2,0.5,cleaned_data!X53=1,0.25,TRUE,0)</f>
        <v>0.75</v>
      </c>
      <c r="R53">
        <f>IF(cleaned_data!Y53="Yes",1,0)</f>
        <v>0</v>
      </c>
      <c r="S53" t="str">
        <f>IF(OR(cleaned_data!AF53="GlobalG.A.P.",cleaned_data!AF53="Fairtrade",cleaned_data!AF53="Organic (CERES)"),1,
IF(OR(cleaned_data!AF53="SIZA",cleaned_data!AF53="Woolworths TNC",cleaned_data!AF53="Checkers Good Farming"),0.75,
IF(cleaned_data!AF53="No Certificate",0,
IF(cleaned_data!AF53="Unknown","",""))))</f>
        <v/>
      </c>
      <c r="T53">
        <f>IF(cleaned_data!AG53="Yes",1,0)</f>
        <v>0</v>
      </c>
      <c r="U53">
        <f>IF(OR(cleaned_data!AD53="No Loan",cleaned_data!AD53="Settled",cleaned_data!AD53="Current"),1,
IF(cleaned_data!AD53="In Arrears",0.5,
IF(cleaned_data!AD53="Defaulted",0,
IF(cleaned_data!AD53="Unknown","",""))))</f>
        <v>1</v>
      </c>
      <c r="V53" cm="1">
        <f t="array" ref="V53">_xlfn.IFS(cleaned_data!AE53&lt;=0.2,1,
cleaned_data!AE53&lt;=0.5,0.75,
cleaned_data!AE53&lt;=1,0.5,
cleaned_data!AE53&gt;1,0.25)</f>
        <v>0.75</v>
      </c>
      <c r="W53">
        <f>IF(cleaned_data!AJ53="Yes",1,0)</f>
        <v>1</v>
      </c>
      <c r="X53" s="2" cm="1">
        <f t="array" ref="X53">_xlfn.IFS(cleaned_data!AM53="Yes", 1,
cleaned_data!AM53="No", 0,
cleaned_data!AM53="Unknown", "")</f>
        <v>1</v>
      </c>
      <c r="Y53" cm="1">
        <f t="array" ref="Y53">_xlfn.IFS(cleaned_data!AK53="Solar", 1,
cleaned_data!AK53="Generator", 0.75,
cleaned_data!AK53="Eskom grid", 0.5,
TRUE, "")</f>
        <v>1</v>
      </c>
      <c r="Z53" cm="1">
        <f t="array" ref="Z53">_xlfn.IFS(cleaned_data!AL53="", "",
cleaned_data!AL53&lt;=8, 1,
cleaned_data!AL53&lt;=14, 0.75,
cleaned_data!AL53&lt;=21, 0.5,
cleaned_data!AL53&gt;=22, 0.25)</f>
        <v>1</v>
      </c>
      <c r="AA53" cm="1">
        <f t="array" ref="AA53">_xlfn.IFS(cleaned_data!AH53=0, 1,
cleaned_data!AH53=1, 0.75,
cleaned_data!AH53=2, 0.5,
cleaned_data!AH53&gt;=3, 0.25)</f>
        <v>0.25</v>
      </c>
      <c r="AB53" cm="1">
        <f t="array" ref="AB53">_xlfn.IFS(cleaned_data!AO53="", "",
cleaned_data!AO53&gt;=50, 1,
cleaned_data!AO53&gt;=30, 0.75,
cleaned_data!AO53&gt;=10, 0.5,
cleaned_data!AO53&lt;10, 0.25)</f>
        <v>0.75</v>
      </c>
      <c r="AC53" cm="1">
        <f t="array" ref="AC53">_xlfn.IFS(cleaned_data!AP53&gt;=50,1, cleaned_data!AP53&gt;=30,0.75, cleaned_data!AP53&gt;=10,0.5, cleaned_data!AP53&lt;10,0.25)</f>
        <v>0.5</v>
      </c>
      <c r="AD53" cm="1">
        <f t="array" ref="AD53">_xlfn.IFS(cleaned_data!AQ53&gt;=30,1,
cleaned_data!AQ53&gt;=20,0.75,
cleaned_data!AQ53&gt;=10,0.5,
cleaned_data!AQ53&lt;10,0.25)</f>
        <v>0.5</v>
      </c>
      <c r="AE53" cm="1">
        <f t="array" ref="AE53">_xlfn.IFS(cleaned_data!AR53&gt;=75,1,
cleaned_data!AR53&gt;=50,0.75,
cleaned_data!AR53&gt;=25,0.5,
cleaned_data!AR53&lt;25,0.25)</f>
        <v>0.5</v>
      </c>
      <c r="AF53">
        <f>IF(cleaned_data!AS53="Yes",1,0)</f>
        <v>0</v>
      </c>
    </row>
    <row r="54" spans="1:32" x14ac:dyDescent="0.35">
      <c r="A54" t="s">
        <v>274</v>
      </c>
      <c r="B54" t="s">
        <v>273</v>
      </c>
      <c r="C54">
        <f>IF(cleaned_data!K54="Registered",1,0)</f>
        <v>0</v>
      </c>
      <c r="D54">
        <f>IF(cleaned_data!L54="Yes",1,0)</f>
        <v>0</v>
      </c>
      <c r="E54">
        <f>IF(cleaned_data!M54="Yes",1,0)</f>
        <v>0</v>
      </c>
      <c r="F54">
        <f>IF(cleaned_data!O54="Unknown","",IF(cleaned_data!O54="Yes",1,0))</f>
        <v>1</v>
      </c>
      <c r="G54" cm="1">
        <f t="array" ref="G54">_xlfn.IFS(cleaned_data!N54="Owned",1,cleaned_data!N54="Leased",0.75,cleaned_data!N54="State land",0.5,cleaned_data!N54="Communal",0.25)</f>
        <v>0.75</v>
      </c>
      <c r="H54" s="2" cm="1">
        <f t="array" ref="H54">_xlfn.IFS(cleaned_data!G54&gt;=10,1,cleaned_data!G54&gt;=5,0.75,cleaned_data!G54&gt;=2,0.5,TRUE,0.25)</f>
        <v>1</v>
      </c>
      <c r="I54">
        <f>IF(cleaned_data!P54="None",0,1)</f>
        <v>1</v>
      </c>
      <c r="J54" s="2" cm="1">
        <f t="array" ref="J54">_xlfn.IFS(cleaned_data!H54&gt;=20,1,cleaned_data!H54&gt;=10,0.75,cleaned_data!H54&gt;=5,0.5,cleaned_data!H54&gt;=1,0.25,TRUE,0)</f>
        <v>0.75</v>
      </c>
      <c r="K54" cm="1">
        <f t="array" ref="K54">_xlfn.IFS(cleaned_data!Q54&gt;=100000,1,cleaned_data!Q54&gt;=50000,0.75,cleaned_data!Q54&gt;=10000,0.5,TRUE,0.25)</f>
        <v>0.5</v>
      </c>
      <c r="L54" cm="1">
        <f t="array" ref="L54">_xlfn.IFS(cleaned_data!T54="","",cleaned_data!T54&lt;=10,1,cleaned_data!T54&lt;=25,0.75,cleaned_data!T54&lt;=40,0.5, cleaned_data!T54&gt;40,0.25)</f>
        <v>0.5</v>
      </c>
      <c r="M54">
        <f>IF(cleaned_data!U54="Yes",1,0)</f>
        <v>0</v>
      </c>
      <c r="N54" cm="1">
        <f t="array" ref="N54">_xlfn.IFS(cleaned_data!V54="Unknown","",cleaned_data!V54="Yes",1,TRUE,0)</f>
        <v>0</v>
      </c>
      <c r="O54" cm="1">
        <f t="array" ref="O54">_xlfn.IFS(cleaned_data!S54&gt;=4,1,cleaned_data!S54=3,0.75,cleaned_data!S54=2,0.5,cleaned_data!S54=1,0.25,TRUE,0)</f>
        <v>0.25</v>
      </c>
      <c r="P54" cm="1">
        <f t="array" ref="P54">_xlfn.IFS(cleaned_data!AB54&gt;=50,1,cleaned_data!AB54&gt;=35,0.75,cleaned_data!AB54&gt;=20,0.5,TRUE,0.25)</f>
        <v>0.5</v>
      </c>
      <c r="Q54" cm="1">
        <f t="array" ref="Q54">_xlfn.IFS(cleaned_data!X54&gt;=5,1,cleaned_data!X54&gt;=3,0.75,cleaned_data!X54=2,0.5,cleaned_data!X54=1,0.25,TRUE,0)</f>
        <v>1</v>
      </c>
      <c r="R54">
        <f>IF(cleaned_data!Y54="Yes",1,0)</f>
        <v>0</v>
      </c>
      <c r="S54">
        <f>IF(OR(cleaned_data!AF54="GlobalG.A.P.",cleaned_data!AF54="Fairtrade",cleaned_data!AF54="Organic (CERES)"),1,
IF(OR(cleaned_data!AF54="SIZA",cleaned_data!AF54="Woolworths TNC",cleaned_data!AF54="Checkers Good Farming"),0.75,
IF(cleaned_data!AF54="No Certificate",0,
IF(cleaned_data!AF54="Unknown","",""))))</f>
        <v>1</v>
      </c>
      <c r="T54">
        <f>IF(cleaned_data!AG54="Yes",1,0)</f>
        <v>0</v>
      </c>
      <c r="U54">
        <f>IF(OR(cleaned_data!AD54="No Loan",cleaned_data!AD54="Settled",cleaned_data!AD54="Current"),1,
IF(cleaned_data!AD54="In Arrears",0.5,
IF(cleaned_data!AD54="Defaulted",0,
IF(cleaned_data!AD54="Unknown","",""))))</f>
        <v>1</v>
      </c>
      <c r="V54" cm="1">
        <f t="array" ref="V54">_xlfn.IFS(cleaned_data!AE54&lt;=0.2,1,
cleaned_data!AE54&lt;=0.5,0.75,
cleaned_data!AE54&lt;=1,0.5,
cleaned_data!AE54&gt;1,0.25)</f>
        <v>0.5</v>
      </c>
      <c r="W54">
        <f>IF(cleaned_data!AJ54="Yes",1,0)</f>
        <v>0</v>
      </c>
      <c r="X54" s="2" cm="1">
        <f t="array" ref="X54">_xlfn.IFS(cleaned_data!AM54="Yes", 1,
cleaned_data!AM54="No", 0,
cleaned_data!AM54="Unknown", "")</f>
        <v>0</v>
      </c>
      <c r="Y54" cm="1">
        <f t="array" ref="Y54">_xlfn.IFS(cleaned_data!AK54="Solar", 1,
cleaned_data!AK54="Generator", 0.75,
cleaned_data!AK54="Eskom grid", 0.5,
TRUE, "")</f>
        <v>0.75</v>
      </c>
      <c r="Z54" cm="1">
        <f t="array" ref="Z54">_xlfn.IFS(cleaned_data!AL54="", "",
cleaned_data!AL54&lt;=8, 1,
cleaned_data!AL54&lt;=14, 0.75,
cleaned_data!AL54&lt;=21, 0.5,
cleaned_data!AL54&gt;=22, 0.25)</f>
        <v>1</v>
      </c>
      <c r="AA54" cm="1">
        <f t="array" ref="AA54">_xlfn.IFS(cleaned_data!AH54=0, 1,
cleaned_data!AH54=1, 0.75,
cleaned_data!AH54=2, 0.5,
cleaned_data!AH54&gt;=3, 0.25)</f>
        <v>0.5</v>
      </c>
      <c r="AB54" cm="1">
        <f t="array" ref="AB54">_xlfn.IFS(cleaned_data!AO54="", "",
cleaned_data!AO54&gt;=50, 1,
cleaned_data!AO54&gt;=30, 0.75,
cleaned_data!AO54&gt;=10, 0.5,
cleaned_data!AO54&lt;10, 0.25)</f>
        <v>1</v>
      </c>
      <c r="AC54" cm="1">
        <f t="array" ref="AC54">_xlfn.IFS(cleaned_data!AP54&gt;=50,1, cleaned_data!AP54&gt;=30,0.75, cleaned_data!AP54&gt;=10,0.5, cleaned_data!AP54&lt;10,0.25)</f>
        <v>0.75</v>
      </c>
      <c r="AD54" cm="1">
        <f t="array" ref="AD54">_xlfn.IFS(cleaned_data!AQ54&gt;=30,1,
cleaned_data!AQ54&gt;=20,0.75,
cleaned_data!AQ54&gt;=10,0.5,
cleaned_data!AQ54&lt;10,0.25)</f>
        <v>0.75</v>
      </c>
      <c r="AE54" cm="1">
        <f t="array" ref="AE54">_xlfn.IFS(cleaned_data!AR54&gt;=75,1,
cleaned_data!AR54&gt;=50,0.75,
cleaned_data!AR54&gt;=25,0.5,
cleaned_data!AR54&lt;25,0.25)</f>
        <v>0.75</v>
      </c>
      <c r="AF54">
        <f>IF(cleaned_data!AS54="Yes",1,0)</f>
        <v>1</v>
      </c>
    </row>
    <row r="55" spans="1:32" x14ac:dyDescent="0.35">
      <c r="A55" t="s">
        <v>272</v>
      </c>
      <c r="B55" t="s">
        <v>271</v>
      </c>
      <c r="C55">
        <f>IF(cleaned_data!K55="Registered",1,0)</f>
        <v>1</v>
      </c>
      <c r="D55">
        <f>IF(cleaned_data!L55="Yes",1,0)</f>
        <v>1</v>
      </c>
      <c r="E55">
        <f>IF(cleaned_data!M55="Yes",1,0)</f>
        <v>1</v>
      </c>
      <c r="F55">
        <f>IF(cleaned_data!O55="Unknown","",IF(cleaned_data!O55="Yes",1,0))</f>
        <v>1</v>
      </c>
      <c r="G55" cm="1">
        <f t="array" ref="G55">_xlfn.IFS(cleaned_data!N55="Owned",1,cleaned_data!N55="Leased",0.75,cleaned_data!N55="State land",0.5,cleaned_data!N55="Communal",0.25)</f>
        <v>1</v>
      </c>
      <c r="H55" s="2" cm="1">
        <f t="array" ref="H55">_xlfn.IFS(cleaned_data!G55&gt;=10,1,cleaned_data!G55&gt;=5,0.75,cleaned_data!G55&gt;=2,0.5,TRUE,0.25)</f>
        <v>0.75</v>
      </c>
      <c r="I55">
        <f>IF(cleaned_data!P55="None",0,1)</f>
        <v>1</v>
      </c>
      <c r="J55" s="2" cm="1">
        <f t="array" ref="J55">_xlfn.IFS(cleaned_data!H55&gt;=20,1,cleaned_data!H55&gt;=10,0.75,cleaned_data!H55&gt;=5,0.5,cleaned_data!H55&gt;=1,0.25,TRUE,0)</f>
        <v>1</v>
      </c>
      <c r="K55" cm="1">
        <f t="array" ref="K55">_xlfn.IFS(cleaned_data!Q55&gt;=100000,1,cleaned_data!Q55&gt;=50000,0.75,cleaned_data!Q55&gt;=10000,0.5,TRUE,0.25)</f>
        <v>1</v>
      </c>
      <c r="L55" cm="1">
        <f t="array" ref="L55">_xlfn.IFS(cleaned_data!T55="","",cleaned_data!T55&lt;=10,1,cleaned_data!T55&lt;=25,0.75,cleaned_data!T55&lt;=40,0.5, cleaned_data!T55&gt;40,0.25)</f>
        <v>0.75</v>
      </c>
      <c r="M55">
        <f>IF(cleaned_data!U55="Yes",1,0)</f>
        <v>1</v>
      </c>
      <c r="N55" cm="1">
        <f t="array" ref="N55">_xlfn.IFS(cleaned_data!V55="Unknown","",cleaned_data!V55="Yes",1,TRUE,0)</f>
        <v>1</v>
      </c>
      <c r="O55" cm="1">
        <f t="array" ref="O55">_xlfn.IFS(cleaned_data!S55&gt;=4,1,cleaned_data!S55=3,0.75,cleaned_data!S55=2,0.5,cleaned_data!S55=1,0.25,TRUE,0)</f>
        <v>0.5</v>
      </c>
      <c r="P55" cm="1">
        <f t="array" ref="P55">_xlfn.IFS(cleaned_data!AB55&gt;=50,1,cleaned_data!AB55&gt;=35,0.75,cleaned_data!AB55&gt;=20,0.5,TRUE,0.25)</f>
        <v>0.5</v>
      </c>
      <c r="Q55" cm="1">
        <f t="array" ref="Q55">_xlfn.IFS(cleaned_data!X55&gt;=5,1,cleaned_data!X55&gt;=3,0.75,cleaned_data!X55=2,0.5,cleaned_data!X55=1,0.25,TRUE,0)</f>
        <v>1</v>
      </c>
      <c r="R55">
        <f>IF(cleaned_data!Y55="Yes",1,0)</f>
        <v>1</v>
      </c>
      <c r="S55">
        <f>IF(OR(cleaned_data!AF55="GlobalG.A.P.",cleaned_data!AF55="Fairtrade",cleaned_data!AF55="Organic (CERES)"),1,
IF(OR(cleaned_data!AF55="SIZA",cleaned_data!AF55="Woolworths TNC",cleaned_data!AF55="Checkers Good Farming"),0.75,
IF(cleaned_data!AF55="No Certificate",0,
IF(cleaned_data!AF55="Unknown","",""))))</f>
        <v>0</v>
      </c>
      <c r="T55">
        <f>IF(cleaned_data!AG55="Yes",1,0)</f>
        <v>0</v>
      </c>
      <c r="U55">
        <f>IF(OR(cleaned_data!AD55="No Loan",cleaned_data!AD55="Settled",cleaned_data!AD55="Current"),1,
IF(cleaned_data!AD55="In Arrears",0.5,
IF(cleaned_data!AD55="Defaulted",0,
IF(cleaned_data!AD55="Unknown","",""))))</f>
        <v>1</v>
      </c>
      <c r="V55" cm="1">
        <f t="array" ref="V55">_xlfn.IFS(cleaned_data!AE55&lt;=0.2,1,
cleaned_data!AE55&lt;=0.5,0.75,
cleaned_data!AE55&lt;=1,0.5,
cleaned_data!AE55&gt;1,0.25)</f>
        <v>1</v>
      </c>
      <c r="W55">
        <f>IF(cleaned_data!AJ55="Yes",1,0)</f>
        <v>1</v>
      </c>
      <c r="X55" s="2" t="str" cm="1">
        <f t="array" ref="X55">_xlfn.IFS(cleaned_data!AM55="Yes", 1,
cleaned_data!AM55="No", 0,
cleaned_data!AM55="Unknown", "")</f>
        <v/>
      </c>
      <c r="Y55" cm="1">
        <f t="array" ref="Y55">_xlfn.IFS(cleaned_data!AK55="Solar", 1,
cleaned_data!AK55="Generator", 0.75,
cleaned_data!AK55="Eskom grid", 0.5,
TRUE, "")</f>
        <v>0.5</v>
      </c>
      <c r="Z55" cm="1">
        <f t="array" ref="Z55">_xlfn.IFS(cleaned_data!AL55="", "",
cleaned_data!AL55&lt;=8, 1,
cleaned_data!AL55&lt;=14, 0.75,
cleaned_data!AL55&lt;=21, 0.5,
cleaned_data!AL55&gt;=22, 0.25)</f>
        <v>1</v>
      </c>
      <c r="AA55" cm="1">
        <f t="array" ref="AA55">_xlfn.IFS(cleaned_data!AH55=0, 1,
cleaned_data!AH55=1, 0.75,
cleaned_data!AH55=2, 0.5,
cleaned_data!AH55&gt;=3, 0.25)</f>
        <v>0.75</v>
      </c>
      <c r="AB55" cm="1">
        <f t="array" ref="AB55">_xlfn.IFS(cleaned_data!AO55="", "",
cleaned_data!AO55&gt;=50, 1,
cleaned_data!AO55&gt;=30, 0.75,
cleaned_data!AO55&gt;=10, 0.5,
cleaned_data!AO55&lt;10, 0.25)</f>
        <v>1</v>
      </c>
      <c r="AC55" cm="1">
        <f t="array" ref="AC55">_xlfn.IFS(cleaned_data!AP55&gt;=50,1, cleaned_data!AP55&gt;=30,0.75, cleaned_data!AP55&gt;=10,0.5, cleaned_data!AP55&lt;10,0.25)</f>
        <v>1</v>
      </c>
      <c r="AD55" cm="1">
        <f t="array" ref="AD55">_xlfn.IFS(cleaned_data!AQ55&gt;=30,1,
cleaned_data!AQ55&gt;=20,0.75,
cleaned_data!AQ55&gt;=10,0.5,
cleaned_data!AQ55&lt;10,0.25)</f>
        <v>1</v>
      </c>
      <c r="AE55" cm="1">
        <f t="array" ref="AE55">_xlfn.IFS(cleaned_data!AR55&gt;=75,1,
cleaned_data!AR55&gt;=50,0.75,
cleaned_data!AR55&gt;=25,0.5,
cleaned_data!AR55&lt;25,0.25)</f>
        <v>0.75</v>
      </c>
      <c r="AF55">
        <f>IF(cleaned_data!AS55="Yes",1,0)</f>
        <v>0</v>
      </c>
    </row>
    <row r="56" spans="1:32" x14ac:dyDescent="0.35">
      <c r="A56" t="s">
        <v>270</v>
      </c>
      <c r="B56" t="s">
        <v>136</v>
      </c>
      <c r="C56">
        <f>IF(cleaned_data!K56="Registered",1,0)</f>
        <v>1</v>
      </c>
      <c r="D56">
        <f>IF(cleaned_data!L56="Yes",1,0)</f>
        <v>1</v>
      </c>
      <c r="E56">
        <f>IF(cleaned_data!M56="Yes",1,0)</f>
        <v>0</v>
      </c>
      <c r="F56">
        <f>IF(cleaned_data!O56="Unknown","",IF(cleaned_data!O56="Yes",1,0))</f>
        <v>0</v>
      </c>
      <c r="G56" cm="1">
        <f t="array" ref="G56">_xlfn.IFS(cleaned_data!N56="Owned",1,cleaned_data!N56="Leased",0.75,cleaned_data!N56="State land",0.5,cleaned_data!N56="Communal",0.25)</f>
        <v>0.75</v>
      </c>
      <c r="H56" s="2" cm="1">
        <f t="array" ref="H56">_xlfn.IFS(cleaned_data!G56&gt;=10,1,cleaned_data!G56&gt;=5,0.75,cleaned_data!G56&gt;=2,0.5,TRUE,0.25)</f>
        <v>0.5</v>
      </c>
      <c r="I56">
        <f>IF(cleaned_data!P56="None",0,1)</f>
        <v>1</v>
      </c>
      <c r="J56" s="2" cm="1">
        <f t="array" ref="J56">_xlfn.IFS(cleaned_data!H56&gt;=20,1,cleaned_data!H56&gt;=10,0.75,cleaned_data!H56&gt;=5,0.5,cleaned_data!H56&gt;=1,0.25,TRUE,0)</f>
        <v>0.75</v>
      </c>
      <c r="K56" cm="1">
        <f t="array" ref="K56">_xlfn.IFS(cleaned_data!Q56&gt;=100000,1,cleaned_data!Q56&gt;=50000,0.75,cleaned_data!Q56&gt;=10000,0.5,TRUE,0.25)</f>
        <v>1</v>
      </c>
      <c r="L56" cm="1">
        <f t="array" ref="L56">_xlfn.IFS(cleaned_data!T56="","",cleaned_data!T56&lt;=10,1,cleaned_data!T56&lt;=25,0.75,cleaned_data!T56&lt;=40,0.5, cleaned_data!T56&gt;40,0.25)</f>
        <v>0.75</v>
      </c>
      <c r="M56">
        <f>IF(cleaned_data!U56="Yes",1,0)</f>
        <v>1</v>
      </c>
      <c r="N56" cm="1">
        <f t="array" ref="N56">_xlfn.IFS(cleaned_data!V56="Unknown","",cleaned_data!V56="Yes",1,TRUE,0)</f>
        <v>1</v>
      </c>
      <c r="O56" cm="1">
        <f t="array" ref="O56">_xlfn.IFS(cleaned_data!S56&gt;=4,1,cleaned_data!S56=3,0.75,cleaned_data!S56=2,0.5,cleaned_data!S56=1,0.25,TRUE,0)</f>
        <v>0.75</v>
      </c>
      <c r="P56" cm="1">
        <f t="array" ref="P56">_xlfn.IFS(cleaned_data!AB56&gt;=50,1,cleaned_data!AB56&gt;=35,0.75,cleaned_data!AB56&gt;=20,0.5,TRUE,0.25)</f>
        <v>1</v>
      </c>
      <c r="Q56" cm="1">
        <f t="array" ref="Q56">_xlfn.IFS(cleaned_data!X56&gt;=5,1,cleaned_data!X56&gt;=3,0.75,cleaned_data!X56=2,0.5,cleaned_data!X56=1,0.25,TRUE,0)</f>
        <v>0.75</v>
      </c>
      <c r="R56">
        <f>IF(cleaned_data!Y56="Yes",1,0)</f>
        <v>0</v>
      </c>
      <c r="S56">
        <f>IF(OR(cleaned_data!AF56="GlobalG.A.P.",cleaned_data!AF56="Fairtrade",cleaned_data!AF56="Organic (CERES)"),1,
IF(OR(cleaned_data!AF56="SIZA",cleaned_data!AF56="Woolworths TNC",cleaned_data!AF56="Checkers Good Farming"),0.75,
IF(cleaned_data!AF56="No Certificate",0,
IF(cleaned_data!AF56="Unknown","",""))))</f>
        <v>0</v>
      </c>
      <c r="T56">
        <f>IF(cleaned_data!AG56="Yes",1,0)</f>
        <v>0</v>
      </c>
      <c r="U56">
        <f>IF(OR(cleaned_data!AD56="No Loan",cleaned_data!AD56="Settled",cleaned_data!AD56="Current"),1,
IF(cleaned_data!AD56="In Arrears",0.5,
IF(cleaned_data!AD56="Defaulted",0,
IF(cleaned_data!AD56="Unknown","",""))))</f>
        <v>1</v>
      </c>
      <c r="V56" cm="1">
        <f t="array" ref="V56">_xlfn.IFS(cleaned_data!AE56&lt;=0.2,1,
cleaned_data!AE56&lt;=0.5,0.75,
cleaned_data!AE56&lt;=1,0.5,
cleaned_data!AE56&gt;1,0.25)</f>
        <v>1</v>
      </c>
      <c r="W56">
        <f>IF(cleaned_data!AJ56="Yes",1,0)</f>
        <v>1</v>
      </c>
      <c r="X56" s="2" cm="1">
        <f t="array" ref="X56">_xlfn.IFS(cleaned_data!AM56="Yes", 1,
cleaned_data!AM56="No", 0,
cleaned_data!AM56="Unknown", "")</f>
        <v>0</v>
      </c>
      <c r="Y56" cm="1">
        <f t="array" ref="Y56">_xlfn.IFS(cleaned_data!AK56="Solar", 1,
cleaned_data!AK56="Generator", 0.75,
cleaned_data!AK56="Eskom grid", 0.5,
TRUE, "")</f>
        <v>0.75</v>
      </c>
      <c r="Z56" cm="1">
        <f t="array" ref="Z56">_xlfn.IFS(cleaned_data!AL56="", "",
cleaned_data!AL56&lt;=8, 1,
cleaned_data!AL56&lt;=14, 0.75,
cleaned_data!AL56&lt;=21, 0.5,
cleaned_data!AL56&gt;=22, 0.25)</f>
        <v>1</v>
      </c>
      <c r="AA56" cm="1">
        <f t="array" ref="AA56">_xlfn.IFS(cleaned_data!AH56=0, 1,
cleaned_data!AH56=1, 0.75,
cleaned_data!AH56=2, 0.5,
cleaned_data!AH56&gt;=3, 0.25)</f>
        <v>1</v>
      </c>
      <c r="AB56" cm="1">
        <f t="array" ref="AB56">_xlfn.IFS(cleaned_data!AO56="", "",
cleaned_data!AO56&gt;=50, 1,
cleaned_data!AO56&gt;=30, 0.75,
cleaned_data!AO56&gt;=10, 0.5,
cleaned_data!AO56&lt;10, 0.25)</f>
        <v>1</v>
      </c>
      <c r="AC56" cm="1">
        <f t="array" ref="AC56">_xlfn.IFS(cleaned_data!AP56&gt;=50,1, cleaned_data!AP56&gt;=30,0.75, cleaned_data!AP56&gt;=10,0.5, cleaned_data!AP56&lt;10,0.25)</f>
        <v>0.5</v>
      </c>
      <c r="AD56" cm="1">
        <f t="array" ref="AD56">_xlfn.IFS(cleaned_data!AQ56&gt;=30,1,
cleaned_data!AQ56&gt;=20,0.75,
cleaned_data!AQ56&gt;=10,0.5,
cleaned_data!AQ56&lt;10,0.25)</f>
        <v>1</v>
      </c>
      <c r="AE56" cm="1">
        <f t="array" ref="AE56">_xlfn.IFS(cleaned_data!AR56&gt;=75,1,
cleaned_data!AR56&gt;=50,0.75,
cleaned_data!AR56&gt;=25,0.5,
cleaned_data!AR56&lt;25,0.25)</f>
        <v>1</v>
      </c>
      <c r="AF56">
        <f>IF(cleaned_data!AS56="Yes",1,0)</f>
        <v>1</v>
      </c>
    </row>
    <row r="57" spans="1:32" x14ac:dyDescent="0.35">
      <c r="A57" t="s">
        <v>269</v>
      </c>
      <c r="B57" t="s">
        <v>168</v>
      </c>
      <c r="C57">
        <f>IF(cleaned_data!K57="Registered",1,0)</f>
        <v>1</v>
      </c>
      <c r="D57">
        <f>IF(cleaned_data!L57="Yes",1,0)</f>
        <v>1</v>
      </c>
      <c r="E57">
        <f>IF(cleaned_data!M57="Yes",1,0)</f>
        <v>0</v>
      </c>
      <c r="F57">
        <f>IF(cleaned_data!O57="Unknown","",IF(cleaned_data!O57="Yes",1,0))</f>
        <v>0</v>
      </c>
      <c r="G57" cm="1">
        <f t="array" ref="G57">_xlfn.IFS(cleaned_data!N57="Owned",1,cleaned_data!N57="Leased",0.75,cleaned_data!N57="State land",0.5,cleaned_data!N57="Communal",0.25)</f>
        <v>1</v>
      </c>
      <c r="H57" s="2" cm="1">
        <f t="array" ref="H57">_xlfn.IFS(cleaned_data!G57&gt;=10,1,cleaned_data!G57&gt;=5,0.75,cleaned_data!G57&gt;=2,0.5,TRUE,0.25)</f>
        <v>0.75</v>
      </c>
      <c r="I57">
        <f>IF(cleaned_data!P57="None",0,1)</f>
        <v>1</v>
      </c>
      <c r="J57" s="2" cm="1">
        <f t="array" ref="J57">_xlfn.IFS(cleaned_data!H57&gt;=20,1,cleaned_data!H57&gt;=10,0.75,cleaned_data!H57&gt;=5,0.5,cleaned_data!H57&gt;=1,0.25,TRUE,0)</f>
        <v>1</v>
      </c>
      <c r="K57" cm="1">
        <f t="array" ref="K57">_xlfn.IFS(cleaned_data!Q57&gt;=100000,1,cleaned_data!Q57&gt;=50000,0.75,cleaned_data!Q57&gt;=10000,0.5,TRUE,0.25)</f>
        <v>0.5</v>
      </c>
      <c r="L57" cm="1">
        <f t="array" ref="L57">_xlfn.IFS(cleaned_data!T57="","",cleaned_data!T57&lt;=10,1,cleaned_data!T57&lt;=25,0.75,cleaned_data!T57&lt;=40,0.5, cleaned_data!T57&gt;40,0.25)</f>
        <v>0.5</v>
      </c>
      <c r="M57">
        <f>IF(cleaned_data!U57="Yes",1,0)</f>
        <v>1</v>
      </c>
      <c r="N57" cm="1">
        <f t="array" ref="N57">_xlfn.IFS(cleaned_data!V57="Unknown","",cleaned_data!V57="Yes",1,TRUE,0)</f>
        <v>0</v>
      </c>
      <c r="O57" cm="1">
        <f t="array" ref="O57">_xlfn.IFS(cleaned_data!S57&gt;=4,1,cleaned_data!S57=3,0.75,cleaned_data!S57=2,0.5,cleaned_data!S57=1,0.25,TRUE,0)</f>
        <v>1</v>
      </c>
      <c r="P57" cm="1">
        <f t="array" ref="P57">_xlfn.IFS(cleaned_data!AB57&gt;=50,1,cleaned_data!AB57&gt;=35,0.75,cleaned_data!AB57&gt;=20,0.5,TRUE,0.25)</f>
        <v>0.5</v>
      </c>
      <c r="Q57" cm="1">
        <f t="array" ref="Q57">_xlfn.IFS(cleaned_data!X57&gt;=5,1,cleaned_data!X57&gt;=3,0.75,cleaned_data!X57=2,0.5,cleaned_data!X57=1,0.25,TRUE,0)</f>
        <v>1</v>
      </c>
      <c r="R57">
        <f>IF(cleaned_data!Y57="Yes",1,0)</f>
        <v>0</v>
      </c>
      <c r="S57">
        <f>IF(OR(cleaned_data!AF57="GlobalG.A.P.",cleaned_data!AF57="Fairtrade",cleaned_data!AF57="Organic (CERES)"),1,
IF(OR(cleaned_data!AF57="SIZA",cleaned_data!AF57="Woolworths TNC",cleaned_data!AF57="Checkers Good Farming"),0.75,
IF(cleaned_data!AF57="No Certificate",0,
IF(cleaned_data!AF57="Unknown","",""))))</f>
        <v>0</v>
      </c>
      <c r="T57">
        <f>IF(cleaned_data!AG57="Yes",1,0)</f>
        <v>0</v>
      </c>
      <c r="U57">
        <f>IF(OR(cleaned_data!AD57="No Loan",cleaned_data!AD57="Settled",cleaned_data!AD57="Current"),1,
IF(cleaned_data!AD57="In Arrears",0.5,
IF(cleaned_data!AD57="Defaulted",0,
IF(cleaned_data!AD57="Unknown","",""))))</f>
        <v>1</v>
      </c>
      <c r="V57" cm="1">
        <f t="array" ref="V57">_xlfn.IFS(cleaned_data!AE57&lt;=0.2,1,
cleaned_data!AE57&lt;=0.5,0.75,
cleaned_data!AE57&lt;=1,0.5,
cleaned_data!AE57&gt;1,0.25)</f>
        <v>0.25</v>
      </c>
      <c r="W57">
        <f>IF(cleaned_data!AJ57="Yes",1,0)</f>
        <v>1</v>
      </c>
      <c r="X57" s="2" t="str" cm="1">
        <f t="array" ref="X57">_xlfn.IFS(cleaned_data!AM57="Yes", 1,
cleaned_data!AM57="No", 0,
cleaned_data!AM57="Unknown", "")</f>
        <v/>
      </c>
      <c r="Y57" cm="1">
        <f t="array" ref="Y57">_xlfn.IFS(cleaned_data!AK57="Solar", 1,
cleaned_data!AK57="Generator", 0.75,
cleaned_data!AK57="Eskom grid", 0.5,
TRUE, "")</f>
        <v>0.5</v>
      </c>
      <c r="Z57" cm="1">
        <f t="array" ref="Z57">_xlfn.IFS(cleaned_data!AL57="", "",
cleaned_data!AL57&lt;=8, 1,
cleaned_data!AL57&lt;=14, 0.75,
cleaned_data!AL57&lt;=21, 0.5,
cleaned_data!AL57&gt;=22, 0.25)</f>
        <v>0.5</v>
      </c>
      <c r="AA57" cm="1">
        <f t="array" ref="AA57">_xlfn.IFS(cleaned_data!AH57=0, 1,
cleaned_data!AH57=1, 0.75,
cleaned_data!AH57=2, 0.5,
cleaned_data!AH57&gt;=3, 0.25)</f>
        <v>1</v>
      </c>
      <c r="AB57" cm="1">
        <f t="array" ref="AB57">_xlfn.IFS(cleaned_data!AO57="", "",
cleaned_data!AO57&gt;=50, 1,
cleaned_data!AO57&gt;=30, 0.75,
cleaned_data!AO57&gt;=10, 0.5,
cleaned_data!AO57&lt;10, 0.25)</f>
        <v>1</v>
      </c>
      <c r="AC57" cm="1">
        <f t="array" ref="AC57">_xlfn.IFS(cleaned_data!AP57&gt;=50,1, cleaned_data!AP57&gt;=30,0.75, cleaned_data!AP57&gt;=10,0.5, cleaned_data!AP57&lt;10,0.25)</f>
        <v>0.75</v>
      </c>
      <c r="AD57" cm="1">
        <f t="array" ref="AD57">_xlfn.IFS(cleaned_data!AQ57&gt;=30,1,
cleaned_data!AQ57&gt;=20,0.75,
cleaned_data!AQ57&gt;=10,0.5,
cleaned_data!AQ57&lt;10,0.25)</f>
        <v>1</v>
      </c>
      <c r="AE57" cm="1">
        <f t="array" ref="AE57">_xlfn.IFS(cleaned_data!AR57&gt;=75,1,
cleaned_data!AR57&gt;=50,0.75,
cleaned_data!AR57&gt;=25,0.5,
cleaned_data!AR57&lt;25,0.25)</f>
        <v>1</v>
      </c>
      <c r="AF57">
        <f>IF(cleaned_data!AS57="Yes",1,0)</f>
        <v>0</v>
      </c>
    </row>
    <row r="58" spans="1:32" hidden="1" x14ac:dyDescent="0.35">
      <c r="A58" t="s">
        <v>267</v>
      </c>
      <c r="B58" t="s">
        <v>26</v>
      </c>
      <c r="C58">
        <f>IF(cleaned_data!K58="Registered",1,0)</f>
        <v>0</v>
      </c>
      <c r="D58">
        <f>IF(cleaned_data!L58="Yes",1,0)</f>
        <v>0</v>
      </c>
      <c r="E58">
        <f>IF(cleaned_data!M58="Yes",1,0)</f>
        <v>1</v>
      </c>
      <c r="F58">
        <f>IF(cleaned_data!O58="Unknown","",IF(cleaned_data!O58="Yes",1,0))</f>
        <v>0</v>
      </c>
      <c r="G58" cm="1">
        <f t="array" ref="G58">_xlfn.IFS(cleaned_data!N58="Owned",1,cleaned_data!N58="Leased",0.75,cleaned_data!N58="State land",0.5,cleaned_data!N58="Communal",0.25)</f>
        <v>0.75</v>
      </c>
      <c r="H58" s="2" cm="1">
        <f t="array" ref="H58">_xlfn.IFS(cleaned_data!G58&gt;=10,1,cleaned_data!G58&gt;=5,0.75,cleaned_data!G58&gt;=2,0.5,TRUE,0.25)</f>
        <v>1</v>
      </c>
      <c r="I58">
        <f>IF(cleaned_data!P58="None",0,1)</f>
        <v>1</v>
      </c>
      <c r="J58" s="2" cm="1">
        <f t="array" ref="J58">_xlfn.IFS(cleaned_data!H58&gt;=20,1,cleaned_data!H58&gt;=10,0.75,cleaned_data!H58&gt;=5,0.5,cleaned_data!H58&gt;=1,0.25,TRUE,0)</f>
        <v>0.5</v>
      </c>
      <c r="K58" cm="1">
        <f t="array" ref="K58">_xlfn.IFS(cleaned_data!Q58&gt;=100000,1,cleaned_data!Q58&gt;=50000,0.75,cleaned_data!Q58&gt;=10000,0.5,TRUE,0.25)</f>
        <v>0.75</v>
      </c>
      <c r="L58" cm="1">
        <f t="array" ref="L58">_xlfn.IFS(cleaned_data!T58="","",cleaned_data!T58&lt;=10,1,cleaned_data!T58&lt;=25,0.75,cleaned_data!T58&lt;=40,0.5, cleaned_data!T58&gt;40,0.25)</f>
        <v>0.5</v>
      </c>
      <c r="M58">
        <f>IF(cleaned_data!U58="Yes",1,0)</f>
        <v>1</v>
      </c>
      <c r="N58" cm="1">
        <f t="array" ref="N58">_xlfn.IFS(cleaned_data!V58="Unknown","",cleaned_data!V58="Yes",1,TRUE,0)</f>
        <v>1</v>
      </c>
      <c r="O58" cm="1">
        <f t="array" ref="O58">_xlfn.IFS(cleaned_data!S58&gt;=4,1,cleaned_data!S58=3,0.75,cleaned_data!S58=2,0.5,cleaned_data!S58=1,0.25,TRUE,0)</f>
        <v>0.5</v>
      </c>
      <c r="P58" cm="1">
        <f t="array" ref="P58">_xlfn.IFS(cleaned_data!AB58&gt;=50,1,cleaned_data!AB58&gt;=35,0.75,cleaned_data!AB58&gt;=20,0.5,TRUE,0.25)</f>
        <v>1</v>
      </c>
      <c r="Q58" cm="1">
        <f t="array" ref="Q58">_xlfn.IFS(cleaned_data!X58&gt;=5,1,cleaned_data!X58&gt;=3,0.75,cleaned_data!X58=2,0.5,cleaned_data!X58=1,0.25,TRUE,0)</f>
        <v>0.75</v>
      </c>
      <c r="R58">
        <f>IF(cleaned_data!Y58="Yes",1,0)</f>
        <v>1</v>
      </c>
      <c r="S58">
        <f>IF(OR(cleaned_data!AF58="GlobalG.A.P.",cleaned_data!AF58="Fairtrade",cleaned_data!AF58="Organic (CERES)"),1,
IF(OR(cleaned_data!AF58="SIZA",cleaned_data!AF58="Woolworths TNC",cleaned_data!AF58="Checkers Good Farming"),0.75,
IF(cleaned_data!AF58="No Certificate",0,
IF(cleaned_data!AF58="Unknown","",""))))</f>
        <v>0.75</v>
      </c>
      <c r="T58">
        <f>IF(cleaned_data!AG58="Yes",1,0)</f>
        <v>1</v>
      </c>
      <c r="U58">
        <f>IF(OR(cleaned_data!AD58="No Loan",cleaned_data!AD58="Settled",cleaned_data!AD58="Current"),1,
IF(cleaned_data!AD58="In Arrears",0.5,
IF(cleaned_data!AD58="Defaulted",0,
IF(cleaned_data!AD58="Unknown","",""))))</f>
        <v>1</v>
      </c>
      <c r="V58" cm="1">
        <f t="array" ref="V58">_xlfn.IFS(cleaned_data!AE58&lt;=0.2,1,
cleaned_data!AE58&lt;=0.5,0.75,
cleaned_data!AE58&lt;=1,0.5,
cleaned_data!AE58&gt;1,0.25)</f>
        <v>1</v>
      </c>
      <c r="W58">
        <f>IF(cleaned_data!AJ58="Yes",1,0)</f>
        <v>1</v>
      </c>
      <c r="X58" s="2" cm="1">
        <f t="array" ref="X58">_xlfn.IFS(cleaned_data!AM58="Yes", 1,
cleaned_data!AM58="No", 0,
cleaned_data!AM58="Unknown", "")</f>
        <v>1</v>
      </c>
      <c r="Y58" cm="1">
        <f t="array" ref="Y58">_xlfn.IFS(cleaned_data!AK58="Solar", 1,
cleaned_data!AK58="Generator", 0.75,
cleaned_data!AK58="Eskom grid", 0.5,
TRUE, "")</f>
        <v>1</v>
      </c>
      <c r="Z58" cm="1">
        <f t="array" ref="Z58">_xlfn.IFS(cleaned_data!AL58="", "",
cleaned_data!AL58&lt;=8, 1,
cleaned_data!AL58&lt;=14, 0.75,
cleaned_data!AL58&lt;=21, 0.5,
cleaned_data!AL58&gt;=22, 0.25)</f>
        <v>1</v>
      </c>
      <c r="AA58" cm="1">
        <f t="array" ref="AA58">_xlfn.IFS(cleaned_data!AH58=0, 1,
cleaned_data!AH58=1, 0.75,
cleaned_data!AH58=2, 0.5,
cleaned_data!AH58&gt;=3, 0.25)</f>
        <v>0.5</v>
      </c>
      <c r="AB58" cm="1">
        <f t="array" ref="AB58">_xlfn.IFS(cleaned_data!AO58="", "",
cleaned_data!AO58&gt;=50, 1,
cleaned_data!AO58&gt;=30, 0.75,
cleaned_data!AO58&gt;=10, 0.5,
cleaned_data!AO58&lt;10, 0.25)</f>
        <v>0.25</v>
      </c>
      <c r="AC58" cm="1">
        <f t="array" ref="AC58">_xlfn.IFS(cleaned_data!AP58&gt;=50,1, cleaned_data!AP58&gt;=30,0.75, cleaned_data!AP58&gt;=10,0.5, cleaned_data!AP58&lt;10,0.25)</f>
        <v>0.75</v>
      </c>
      <c r="AD58" cm="1">
        <f t="array" ref="AD58">_xlfn.IFS(cleaned_data!AQ58&gt;=30,1,
cleaned_data!AQ58&gt;=20,0.75,
cleaned_data!AQ58&gt;=10,0.5,
cleaned_data!AQ58&lt;10,0.25)</f>
        <v>1</v>
      </c>
      <c r="AE58" cm="1">
        <f t="array" ref="AE58">_xlfn.IFS(cleaned_data!AR58&gt;=75,1,
cleaned_data!AR58&gt;=50,0.75,
cleaned_data!AR58&gt;=25,0.5,
cleaned_data!AR58&lt;25,0.25)</f>
        <v>1</v>
      </c>
      <c r="AF58">
        <f>IF(cleaned_data!AS58="Yes",1,0)</f>
        <v>0</v>
      </c>
    </row>
    <row r="59" spans="1:32" hidden="1" x14ac:dyDescent="0.35">
      <c r="A59" t="s">
        <v>266</v>
      </c>
      <c r="B59" t="s">
        <v>265</v>
      </c>
      <c r="C59">
        <f>IF(cleaned_data!K59="Registered",1,0)</f>
        <v>1</v>
      </c>
      <c r="D59">
        <f>IF(cleaned_data!L59="Yes",1,0)</f>
        <v>1</v>
      </c>
      <c r="E59">
        <f>IF(cleaned_data!M59="Yes",1,0)</f>
        <v>1</v>
      </c>
      <c r="F59" t="str">
        <f>IF(cleaned_data!O59="Unknown","",IF(cleaned_data!O59="Yes",1,0))</f>
        <v/>
      </c>
      <c r="G59" cm="1">
        <f t="array" ref="G59">_xlfn.IFS(cleaned_data!N59="Owned",1,cleaned_data!N59="Leased",0.75,cleaned_data!N59="State land",0.5,cleaned_data!N59="Communal",0.25)</f>
        <v>1</v>
      </c>
      <c r="H59" s="2" cm="1">
        <f t="array" ref="H59">_xlfn.IFS(cleaned_data!G59&gt;=10,1,cleaned_data!G59&gt;=5,0.75,cleaned_data!G59&gt;=2,0.5,TRUE,0.25)</f>
        <v>1</v>
      </c>
      <c r="I59">
        <f>IF(cleaned_data!P59="None",0,1)</f>
        <v>1</v>
      </c>
      <c r="J59" s="2" cm="1">
        <f t="array" ref="J59">_xlfn.IFS(cleaned_data!H59&gt;=20,1,cleaned_data!H59&gt;=10,0.75,cleaned_data!H59&gt;=5,0.5,cleaned_data!H59&gt;=1,0.25,TRUE,0)</f>
        <v>1</v>
      </c>
      <c r="K59" cm="1">
        <f t="array" ref="K59">_xlfn.IFS(cleaned_data!Q59&gt;=100000,1,cleaned_data!Q59&gt;=50000,0.75,cleaned_data!Q59&gt;=10000,0.5,TRUE,0.25)</f>
        <v>0.75</v>
      </c>
      <c r="L59" cm="1">
        <f t="array" ref="L59">_xlfn.IFS(cleaned_data!T59="","",cleaned_data!T59&lt;=10,1,cleaned_data!T59&lt;=25,0.75,cleaned_data!T59&lt;=40,0.5, cleaned_data!T59&gt;40,0.25)</f>
        <v>0.5</v>
      </c>
      <c r="M59">
        <f>IF(cleaned_data!U59="Yes",1,0)</f>
        <v>1</v>
      </c>
      <c r="N59" cm="1">
        <f t="array" ref="N59">_xlfn.IFS(cleaned_data!V59="Unknown","",cleaned_data!V59="Yes",1,TRUE,0)</f>
        <v>1</v>
      </c>
      <c r="O59" cm="1">
        <f t="array" ref="O59">_xlfn.IFS(cleaned_data!S59&gt;=4,1,cleaned_data!S59=3,0.75,cleaned_data!S59=2,0.5,cleaned_data!S59=1,0.25,TRUE,0)</f>
        <v>1</v>
      </c>
      <c r="P59" cm="1">
        <f t="array" ref="P59">_xlfn.IFS(cleaned_data!AB59&gt;=50,1,cleaned_data!AB59&gt;=35,0.75,cleaned_data!AB59&gt;=20,0.5,TRUE,0.25)</f>
        <v>0.75</v>
      </c>
      <c r="Q59" cm="1">
        <f t="array" ref="Q59">_xlfn.IFS(cleaned_data!X59&gt;=5,1,cleaned_data!X59&gt;=3,0.75,cleaned_data!X59=2,0.5,cleaned_data!X59=1,0.25,TRUE,0)</f>
        <v>0.25</v>
      </c>
      <c r="R59">
        <f>IF(cleaned_data!Y59="Yes",1,0)</f>
        <v>0</v>
      </c>
      <c r="S59">
        <f>IF(OR(cleaned_data!AF59="GlobalG.A.P.",cleaned_data!AF59="Fairtrade",cleaned_data!AF59="Organic (CERES)"),1,
IF(OR(cleaned_data!AF59="SIZA",cleaned_data!AF59="Woolworths TNC",cleaned_data!AF59="Checkers Good Farming"),0.75,
IF(cleaned_data!AF59="No Certificate",0,
IF(cleaned_data!AF59="Unknown","",""))))</f>
        <v>0</v>
      </c>
      <c r="T59">
        <f>IF(cleaned_data!AG59="Yes",1,0)</f>
        <v>1</v>
      </c>
      <c r="U59">
        <f>IF(OR(cleaned_data!AD59="No Loan",cleaned_data!AD59="Settled",cleaned_data!AD59="Current"),1,
IF(cleaned_data!AD59="In Arrears",0.5,
IF(cleaned_data!AD59="Defaulted",0,
IF(cleaned_data!AD59="Unknown","",""))))</f>
        <v>1</v>
      </c>
      <c r="V59" cm="1">
        <f t="array" ref="V59">_xlfn.IFS(cleaned_data!AE59&lt;=0.2,1,
cleaned_data!AE59&lt;=0.5,0.75,
cleaned_data!AE59&lt;=1,0.5,
cleaned_data!AE59&gt;1,0.25)</f>
        <v>1</v>
      </c>
      <c r="W59">
        <f>IF(cleaned_data!AJ59="Yes",1,0)</f>
        <v>1</v>
      </c>
      <c r="X59" s="2" cm="1">
        <f t="array" ref="X59">_xlfn.IFS(cleaned_data!AM59="Yes", 1,
cleaned_data!AM59="No", 0,
cleaned_data!AM59="Unknown", "")</f>
        <v>0</v>
      </c>
      <c r="Y59" cm="1">
        <f t="array" ref="Y59">_xlfn.IFS(cleaned_data!AK59="Solar", 1,
cleaned_data!AK59="Generator", 0.75,
cleaned_data!AK59="Eskom grid", 0.5,
TRUE, "")</f>
        <v>0.5</v>
      </c>
      <c r="Z59" cm="1">
        <f t="array" ref="Z59">_xlfn.IFS(cleaned_data!AL59="", "",
cleaned_data!AL59&lt;=8, 1,
cleaned_data!AL59&lt;=14, 0.75,
cleaned_data!AL59&lt;=21, 0.5,
cleaned_data!AL59&gt;=22, 0.25)</f>
        <v>0.75</v>
      </c>
      <c r="AA59" cm="1">
        <f t="array" ref="AA59">_xlfn.IFS(cleaned_data!AH59=0, 1,
cleaned_data!AH59=1, 0.75,
cleaned_data!AH59=2, 0.5,
cleaned_data!AH59&gt;=3, 0.25)</f>
        <v>0.25</v>
      </c>
      <c r="AB59" cm="1">
        <f t="array" ref="AB59">_xlfn.IFS(cleaned_data!AO59="", "",
cleaned_data!AO59&gt;=50, 1,
cleaned_data!AO59&gt;=30, 0.75,
cleaned_data!AO59&gt;=10, 0.5,
cleaned_data!AO59&lt;10, 0.25)</f>
        <v>0.75</v>
      </c>
      <c r="AC59" cm="1">
        <f t="array" ref="AC59">_xlfn.IFS(cleaned_data!AP59&gt;=50,1, cleaned_data!AP59&gt;=30,0.75, cleaned_data!AP59&gt;=10,0.5, cleaned_data!AP59&lt;10,0.25)</f>
        <v>1</v>
      </c>
      <c r="AD59" cm="1">
        <f t="array" ref="AD59">_xlfn.IFS(cleaned_data!AQ59&gt;=30,1,
cleaned_data!AQ59&gt;=20,0.75,
cleaned_data!AQ59&gt;=10,0.5,
cleaned_data!AQ59&lt;10,0.25)</f>
        <v>1</v>
      </c>
      <c r="AE59" cm="1">
        <f t="array" ref="AE59">_xlfn.IFS(cleaned_data!AR59&gt;=75,1,
cleaned_data!AR59&gt;=50,0.75,
cleaned_data!AR59&gt;=25,0.5,
cleaned_data!AR59&lt;25,0.25)</f>
        <v>0.75</v>
      </c>
      <c r="AF59">
        <f>IF(cleaned_data!AS59="Yes",1,0)</f>
        <v>0</v>
      </c>
    </row>
    <row r="60" spans="1:32" x14ac:dyDescent="0.35">
      <c r="A60" t="s">
        <v>264</v>
      </c>
      <c r="B60" t="s">
        <v>263</v>
      </c>
      <c r="C60">
        <f>IF(cleaned_data!K60="Registered",1,0)</f>
        <v>1</v>
      </c>
      <c r="D60">
        <f>IF(cleaned_data!L60="Yes",1,0)</f>
        <v>0</v>
      </c>
      <c r="E60">
        <f>IF(cleaned_data!M60="Yes",1,0)</f>
        <v>1</v>
      </c>
      <c r="F60">
        <f>IF(cleaned_data!O60="Unknown","",IF(cleaned_data!O60="Yes",1,0))</f>
        <v>0</v>
      </c>
      <c r="G60" cm="1">
        <f t="array" ref="G60">_xlfn.IFS(cleaned_data!N60="Owned",1,cleaned_data!N60="Leased",0.75,cleaned_data!N60="State land",0.5,cleaned_data!N60="Communal",0.25)</f>
        <v>0.75</v>
      </c>
      <c r="H60" s="2" cm="1">
        <f t="array" ref="H60">_xlfn.IFS(cleaned_data!G60&gt;=10,1,cleaned_data!G60&gt;=5,0.75,cleaned_data!G60&gt;=2,0.5,TRUE,0.25)</f>
        <v>1</v>
      </c>
      <c r="I60">
        <f>IF(cleaned_data!P60="None",0,1)</f>
        <v>0</v>
      </c>
      <c r="J60" s="2" cm="1">
        <f t="array" ref="J60">_xlfn.IFS(cleaned_data!H60&gt;=20,1,cleaned_data!H60&gt;=10,0.75,cleaned_data!H60&gt;=5,0.5,cleaned_data!H60&gt;=1,0.25,TRUE,0)</f>
        <v>1</v>
      </c>
      <c r="K60" cm="1">
        <f t="array" ref="K60">_xlfn.IFS(cleaned_data!Q60&gt;=100000,1,cleaned_data!Q60&gt;=50000,0.75,cleaned_data!Q60&gt;=10000,0.5,TRUE,0.25)</f>
        <v>0.5</v>
      </c>
      <c r="L60" cm="1">
        <f t="array" ref="L60">_xlfn.IFS(cleaned_data!T60="","",cleaned_data!T60&lt;=10,1,cleaned_data!T60&lt;=25,0.75,cleaned_data!T60&lt;=40,0.5, cleaned_data!T60&gt;40,0.25)</f>
        <v>0.5</v>
      </c>
      <c r="M60">
        <f>IF(cleaned_data!U60="Yes",1,0)</f>
        <v>1</v>
      </c>
      <c r="N60" cm="1">
        <f t="array" ref="N60">_xlfn.IFS(cleaned_data!V60="Unknown","",cleaned_data!V60="Yes",1,TRUE,0)</f>
        <v>0</v>
      </c>
      <c r="O60" cm="1">
        <f t="array" ref="O60">_xlfn.IFS(cleaned_data!S60&gt;=4,1,cleaned_data!S60=3,0.75,cleaned_data!S60=2,0.5,cleaned_data!S60=1,0.25,TRUE,0)</f>
        <v>0.75</v>
      </c>
      <c r="P60" cm="1">
        <f t="array" ref="P60">_xlfn.IFS(cleaned_data!AB60&gt;=50,1,cleaned_data!AB60&gt;=35,0.75,cleaned_data!AB60&gt;=20,0.5,TRUE,0.25)</f>
        <v>1</v>
      </c>
      <c r="Q60" cm="1">
        <f t="array" ref="Q60">_xlfn.IFS(cleaned_data!X60&gt;=5,1,cleaned_data!X60&gt;=3,0.75,cleaned_data!X60=2,0.5,cleaned_data!X60=1,0.25,TRUE,0)</f>
        <v>1</v>
      </c>
      <c r="R60">
        <f>IF(cleaned_data!Y60="Yes",1,0)</f>
        <v>0</v>
      </c>
      <c r="S60">
        <f>IF(OR(cleaned_data!AF60="GlobalG.A.P.",cleaned_data!AF60="Fairtrade",cleaned_data!AF60="Organic (CERES)"),1,
IF(OR(cleaned_data!AF60="SIZA",cleaned_data!AF60="Woolworths TNC",cleaned_data!AF60="Checkers Good Farming"),0.75,
IF(cleaned_data!AF60="No Certificate",0,
IF(cleaned_data!AF60="Unknown","",""))))</f>
        <v>0</v>
      </c>
      <c r="T60">
        <f>IF(cleaned_data!AG60="Yes",1,0)</f>
        <v>0</v>
      </c>
      <c r="U60">
        <f>IF(OR(cleaned_data!AD60="No Loan",cleaned_data!AD60="Settled",cleaned_data!AD60="Current"),1,
IF(cleaned_data!AD60="In Arrears",0.5,
IF(cleaned_data!AD60="Defaulted",0,
IF(cleaned_data!AD60="Unknown","",""))))</f>
        <v>1</v>
      </c>
      <c r="V60" cm="1">
        <f t="array" ref="V60">_xlfn.IFS(cleaned_data!AE60&lt;=0.2,1,
cleaned_data!AE60&lt;=0.5,0.75,
cleaned_data!AE60&lt;=1,0.5,
cleaned_data!AE60&gt;1,0.25)</f>
        <v>1</v>
      </c>
      <c r="W60">
        <f>IF(cleaned_data!AJ60="Yes",1,0)</f>
        <v>1</v>
      </c>
      <c r="X60" s="2" cm="1">
        <f t="array" ref="X60">_xlfn.IFS(cleaned_data!AM60="Yes", 1,
cleaned_data!AM60="No", 0,
cleaned_data!AM60="Unknown", "")</f>
        <v>1</v>
      </c>
      <c r="Y60" cm="1">
        <f t="array" ref="Y60">_xlfn.IFS(cleaned_data!AK60="Solar", 1,
cleaned_data!AK60="Generator", 0.75,
cleaned_data!AK60="Eskom grid", 0.5,
TRUE, "")</f>
        <v>1</v>
      </c>
      <c r="Z60" cm="1">
        <f t="array" ref="Z60">_xlfn.IFS(cleaned_data!AL60="", "",
cleaned_data!AL60&lt;=8, 1,
cleaned_data!AL60&lt;=14, 0.75,
cleaned_data!AL60&lt;=21, 0.5,
cleaned_data!AL60&gt;=22, 0.25)</f>
        <v>1</v>
      </c>
      <c r="AA60" cm="1">
        <f t="array" ref="AA60">_xlfn.IFS(cleaned_data!AH60=0, 1,
cleaned_data!AH60=1, 0.75,
cleaned_data!AH60=2, 0.5,
cleaned_data!AH60&gt;=3, 0.25)</f>
        <v>1</v>
      </c>
      <c r="AB60" cm="1">
        <f t="array" ref="AB60">_xlfn.IFS(cleaned_data!AO60="", "",
cleaned_data!AO60&gt;=50, 1,
cleaned_data!AO60&gt;=30, 0.75,
cleaned_data!AO60&gt;=10, 0.5,
cleaned_data!AO60&lt;10, 0.25)</f>
        <v>1</v>
      </c>
      <c r="AC60" cm="1">
        <f t="array" ref="AC60">_xlfn.IFS(cleaned_data!AP60&gt;=50,1, cleaned_data!AP60&gt;=30,0.75, cleaned_data!AP60&gt;=10,0.5, cleaned_data!AP60&lt;10,0.25)</f>
        <v>1</v>
      </c>
      <c r="AD60" cm="1">
        <f t="array" ref="AD60">_xlfn.IFS(cleaned_data!AQ60&gt;=30,1,
cleaned_data!AQ60&gt;=20,0.75,
cleaned_data!AQ60&gt;=10,0.5,
cleaned_data!AQ60&lt;10,0.25)</f>
        <v>0.75</v>
      </c>
      <c r="AE60" cm="1">
        <f t="array" ref="AE60">_xlfn.IFS(cleaned_data!AR60&gt;=75,1,
cleaned_data!AR60&gt;=50,0.75,
cleaned_data!AR60&gt;=25,0.5,
cleaned_data!AR60&lt;25,0.25)</f>
        <v>1</v>
      </c>
      <c r="AF60">
        <f>IF(cleaned_data!AS60="Yes",1,0)</f>
        <v>0</v>
      </c>
    </row>
    <row r="61" spans="1:32" hidden="1" x14ac:dyDescent="0.35">
      <c r="A61" t="s">
        <v>262</v>
      </c>
      <c r="B61" t="s">
        <v>261</v>
      </c>
      <c r="C61">
        <f>IF(cleaned_data!K61="Registered",1,0)</f>
        <v>1</v>
      </c>
      <c r="D61">
        <f>IF(cleaned_data!L61="Yes",1,0)</f>
        <v>0</v>
      </c>
      <c r="E61">
        <f>IF(cleaned_data!M61="Yes",1,0)</f>
        <v>1</v>
      </c>
      <c r="F61">
        <f>IF(cleaned_data!O61="Unknown","",IF(cleaned_data!O61="Yes",1,0))</f>
        <v>0</v>
      </c>
      <c r="G61" cm="1">
        <f t="array" ref="G61">_xlfn.IFS(cleaned_data!N61="Owned",1,cleaned_data!N61="Leased",0.75,cleaned_data!N61="State land",0.5,cleaned_data!N61="Communal",0.25)</f>
        <v>0.25</v>
      </c>
      <c r="H61" s="2" cm="1">
        <f t="array" ref="H61">_xlfn.IFS(cleaned_data!G61&gt;=10,1,cleaned_data!G61&gt;=5,0.75,cleaned_data!G61&gt;=2,0.5,TRUE,0.25)</f>
        <v>1</v>
      </c>
      <c r="I61">
        <f>IF(cleaned_data!P61="None",0,1)</f>
        <v>1</v>
      </c>
      <c r="J61" s="2" cm="1">
        <f t="array" ref="J61">_xlfn.IFS(cleaned_data!H61&gt;=20,1,cleaned_data!H61&gt;=10,0.75,cleaned_data!H61&gt;=5,0.5,cleaned_data!H61&gt;=1,0.25,TRUE,0)</f>
        <v>1</v>
      </c>
      <c r="K61" cm="1">
        <f t="array" ref="K61">_xlfn.IFS(cleaned_data!Q61&gt;=100000,1,cleaned_data!Q61&gt;=50000,0.75,cleaned_data!Q61&gt;=10000,0.5,TRUE,0.25)</f>
        <v>0.75</v>
      </c>
      <c r="L61" cm="1">
        <f t="array" ref="L61">_xlfn.IFS(cleaned_data!T61="","",cleaned_data!T61&lt;=10,1,cleaned_data!T61&lt;=25,0.75,cleaned_data!T61&lt;=40,0.5, cleaned_data!T61&gt;40,0.25)</f>
        <v>0.5</v>
      </c>
      <c r="M61">
        <f>IF(cleaned_data!U61="Yes",1,0)</f>
        <v>0</v>
      </c>
      <c r="N61" cm="1">
        <f t="array" ref="N61">_xlfn.IFS(cleaned_data!V61="Unknown","",cleaned_data!V61="Yes",1,TRUE,0)</f>
        <v>0</v>
      </c>
      <c r="O61" cm="1">
        <f t="array" ref="O61">_xlfn.IFS(cleaned_data!S61&gt;=4,1,cleaned_data!S61=3,0.75,cleaned_data!S61=2,0.5,cleaned_data!S61=1,0.25,TRUE,0)</f>
        <v>1</v>
      </c>
      <c r="P61" cm="1">
        <f t="array" ref="P61">_xlfn.IFS(cleaned_data!AB61&gt;=50,1,cleaned_data!AB61&gt;=35,0.75,cleaned_data!AB61&gt;=20,0.5,TRUE,0.25)</f>
        <v>0.75</v>
      </c>
      <c r="Q61" cm="1">
        <f t="array" ref="Q61">_xlfn.IFS(cleaned_data!X61&gt;=5,1,cleaned_data!X61&gt;=3,0.75,cleaned_data!X61=2,0.5,cleaned_data!X61=1,0.25,TRUE,0)</f>
        <v>0.75</v>
      </c>
      <c r="R61">
        <f>IF(cleaned_data!Y61="Yes",1,0)</f>
        <v>1</v>
      </c>
      <c r="S61">
        <f>IF(OR(cleaned_data!AF61="GlobalG.A.P.",cleaned_data!AF61="Fairtrade",cleaned_data!AF61="Organic (CERES)"),1,
IF(OR(cleaned_data!AF61="SIZA",cleaned_data!AF61="Woolworths TNC",cleaned_data!AF61="Checkers Good Farming"),0.75,
IF(cleaned_data!AF61="No Certificate",0,
IF(cleaned_data!AF61="Unknown","",""))))</f>
        <v>0.75</v>
      </c>
      <c r="T61">
        <f>IF(cleaned_data!AG61="Yes",1,0)</f>
        <v>0</v>
      </c>
      <c r="U61">
        <f>IF(OR(cleaned_data!AD61="No Loan",cleaned_data!AD61="Settled",cleaned_data!AD61="Current"),1,
IF(cleaned_data!AD61="In Arrears",0.5,
IF(cleaned_data!AD61="Defaulted",0,
IF(cleaned_data!AD61="Unknown","",""))))</f>
        <v>1</v>
      </c>
      <c r="V61" cm="1">
        <f t="array" ref="V61">_xlfn.IFS(cleaned_data!AE61&lt;=0.2,1,
cleaned_data!AE61&lt;=0.5,0.75,
cleaned_data!AE61&lt;=1,0.5,
cleaned_data!AE61&gt;1,0.25)</f>
        <v>1</v>
      </c>
      <c r="W61">
        <f>IF(cleaned_data!AJ61="Yes",1,0)</f>
        <v>0</v>
      </c>
      <c r="X61" s="2" cm="1">
        <f t="array" ref="X61">_xlfn.IFS(cleaned_data!AM61="Yes", 1,
cleaned_data!AM61="No", 0,
cleaned_data!AM61="Unknown", "")</f>
        <v>1</v>
      </c>
      <c r="Y61" cm="1">
        <f t="array" ref="Y61">_xlfn.IFS(cleaned_data!AK61="Solar", 1,
cleaned_data!AK61="Generator", 0.75,
cleaned_data!AK61="Eskom grid", 0.5,
TRUE, "")</f>
        <v>0.5</v>
      </c>
      <c r="Z61" cm="1">
        <f t="array" ref="Z61">_xlfn.IFS(cleaned_data!AL61="", "",
cleaned_data!AL61&lt;=8, 1,
cleaned_data!AL61&lt;=14, 0.75,
cleaned_data!AL61&lt;=21, 0.5,
cleaned_data!AL61&gt;=22, 0.25)</f>
        <v>0.75</v>
      </c>
      <c r="AA61" cm="1">
        <f t="array" ref="AA61">_xlfn.IFS(cleaned_data!AH61=0, 1,
cleaned_data!AH61=1, 0.75,
cleaned_data!AH61=2, 0.5,
cleaned_data!AH61&gt;=3, 0.25)</f>
        <v>0.25</v>
      </c>
      <c r="AB61" cm="1">
        <f t="array" ref="AB61">_xlfn.IFS(cleaned_data!AO61="", "",
cleaned_data!AO61&gt;=50, 1,
cleaned_data!AO61&gt;=30, 0.75,
cleaned_data!AO61&gt;=10, 0.5,
cleaned_data!AO61&lt;10, 0.25)</f>
        <v>0.75</v>
      </c>
      <c r="AC61" cm="1">
        <f t="array" ref="AC61">_xlfn.IFS(cleaned_data!AP61&gt;=50,1, cleaned_data!AP61&gt;=30,0.75, cleaned_data!AP61&gt;=10,0.5, cleaned_data!AP61&lt;10,0.25)</f>
        <v>0.75</v>
      </c>
      <c r="AD61" cm="1">
        <f t="array" ref="AD61">_xlfn.IFS(cleaned_data!AQ61&gt;=30,1,
cleaned_data!AQ61&gt;=20,0.75,
cleaned_data!AQ61&gt;=10,0.5,
cleaned_data!AQ61&lt;10,0.25)</f>
        <v>1</v>
      </c>
      <c r="AE61" cm="1">
        <f t="array" ref="AE61">_xlfn.IFS(cleaned_data!AR61&gt;=75,1,
cleaned_data!AR61&gt;=50,0.75,
cleaned_data!AR61&gt;=25,0.5,
cleaned_data!AR61&lt;25,0.25)</f>
        <v>0.75</v>
      </c>
      <c r="AF61">
        <f>IF(cleaned_data!AS61="Yes",1,0)</f>
        <v>1</v>
      </c>
    </row>
    <row r="62" spans="1:32" hidden="1" x14ac:dyDescent="0.35">
      <c r="A62" t="s">
        <v>260</v>
      </c>
      <c r="B62" t="s">
        <v>259</v>
      </c>
      <c r="C62">
        <f>IF(cleaned_data!K62="Registered",1,0)</f>
        <v>1</v>
      </c>
      <c r="D62">
        <f>IF(cleaned_data!L62="Yes",1,0)</f>
        <v>0</v>
      </c>
      <c r="E62">
        <f>IF(cleaned_data!M62="Yes",1,0)</f>
        <v>1</v>
      </c>
      <c r="F62">
        <f>IF(cleaned_data!O62="Unknown","",IF(cleaned_data!O62="Yes",1,0))</f>
        <v>0</v>
      </c>
      <c r="G62" cm="1">
        <f t="array" ref="G62">_xlfn.IFS(cleaned_data!N62="Owned",1,cleaned_data!N62="Leased",0.75,cleaned_data!N62="State land",0.5,cleaned_data!N62="Communal",0.25)</f>
        <v>1</v>
      </c>
      <c r="H62" s="2" cm="1">
        <f t="array" ref="H62">_xlfn.IFS(cleaned_data!G62&gt;=10,1,cleaned_data!G62&gt;=5,0.75,cleaned_data!G62&gt;=2,0.5,TRUE,0.25)</f>
        <v>1</v>
      </c>
      <c r="I62">
        <f>IF(cleaned_data!P62="None",0,1)</f>
        <v>1</v>
      </c>
      <c r="J62" s="2" cm="1">
        <f t="array" ref="J62">_xlfn.IFS(cleaned_data!H62&gt;=20,1,cleaned_data!H62&gt;=10,0.75,cleaned_data!H62&gt;=5,0.5,cleaned_data!H62&gt;=1,0.25,TRUE,0)</f>
        <v>0.75</v>
      </c>
      <c r="K62" cm="1">
        <f t="array" ref="K62">_xlfn.IFS(cleaned_data!Q62&gt;=100000,1,cleaned_data!Q62&gt;=50000,0.75,cleaned_data!Q62&gt;=10000,0.5,TRUE,0.25)</f>
        <v>0.75</v>
      </c>
      <c r="L62" cm="1">
        <f t="array" ref="L62">_xlfn.IFS(cleaned_data!T62="","",cleaned_data!T62&lt;=10,1,cleaned_data!T62&lt;=25,0.75,cleaned_data!T62&lt;=40,0.5, cleaned_data!T62&gt;40,0.25)</f>
        <v>0.5</v>
      </c>
      <c r="M62">
        <f>IF(cleaned_data!U62="Yes",1,0)</f>
        <v>1</v>
      </c>
      <c r="N62" cm="1">
        <f t="array" ref="N62">_xlfn.IFS(cleaned_data!V62="Unknown","",cleaned_data!V62="Yes",1,TRUE,0)</f>
        <v>0</v>
      </c>
      <c r="O62" cm="1">
        <f t="array" ref="O62">_xlfn.IFS(cleaned_data!S62&gt;=4,1,cleaned_data!S62=3,0.75,cleaned_data!S62=2,0.5,cleaned_data!S62=1,0.25,TRUE,0)</f>
        <v>1</v>
      </c>
      <c r="P62" cm="1">
        <f t="array" ref="P62">_xlfn.IFS(cleaned_data!AB62&gt;=50,1,cleaned_data!AB62&gt;=35,0.75,cleaned_data!AB62&gt;=20,0.5,TRUE,0.25)</f>
        <v>1</v>
      </c>
      <c r="Q62" cm="1">
        <f t="array" ref="Q62">_xlfn.IFS(cleaned_data!X62&gt;=5,1,cleaned_data!X62&gt;=3,0.75,cleaned_data!X62=2,0.5,cleaned_data!X62=1,0.25,TRUE,0)</f>
        <v>0.5</v>
      </c>
      <c r="R62">
        <f>IF(cleaned_data!Y62="Yes",1,0)</f>
        <v>0</v>
      </c>
      <c r="S62">
        <f>IF(OR(cleaned_data!AF62="GlobalG.A.P.",cleaned_data!AF62="Fairtrade",cleaned_data!AF62="Organic (CERES)"),1,
IF(OR(cleaned_data!AF62="SIZA",cleaned_data!AF62="Woolworths TNC",cleaned_data!AF62="Checkers Good Farming"),0.75,
IF(cleaned_data!AF62="No Certificate",0,
IF(cleaned_data!AF62="Unknown","",""))))</f>
        <v>1</v>
      </c>
      <c r="T62">
        <f>IF(cleaned_data!AG62="Yes",1,0)</f>
        <v>0</v>
      </c>
      <c r="U62">
        <f>IF(OR(cleaned_data!AD62="No Loan",cleaned_data!AD62="Settled",cleaned_data!AD62="Current"),1,
IF(cleaned_data!AD62="In Arrears",0.5,
IF(cleaned_data!AD62="Defaulted",0,
IF(cleaned_data!AD62="Unknown","",""))))</f>
        <v>1</v>
      </c>
      <c r="V62" cm="1">
        <f t="array" ref="V62">_xlfn.IFS(cleaned_data!AE62&lt;=0.2,1,
cleaned_data!AE62&lt;=0.5,0.75,
cleaned_data!AE62&lt;=1,0.5,
cleaned_data!AE62&gt;1,0.25)</f>
        <v>1</v>
      </c>
      <c r="W62">
        <f>IF(cleaned_data!AJ62="Yes",1,0)</f>
        <v>1</v>
      </c>
      <c r="X62" s="2" cm="1">
        <f t="array" ref="X62">_xlfn.IFS(cleaned_data!AM62="Yes", 1,
cleaned_data!AM62="No", 0,
cleaned_data!AM62="Unknown", "")</f>
        <v>0</v>
      </c>
      <c r="Y62" cm="1">
        <f t="array" ref="Y62">_xlfn.IFS(cleaned_data!AK62="Solar", 1,
cleaned_data!AK62="Generator", 0.75,
cleaned_data!AK62="Eskom grid", 0.5,
TRUE, "")</f>
        <v>1</v>
      </c>
      <c r="Z62" cm="1">
        <f t="array" ref="Z62">_xlfn.IFS(cleaned_data!AL62="", "",
cleaned_data!AL62&lt;=8, 1,
cleaned_data!AL62&lt;=14, 0.75,
cleaned_data!AL62&lt;=21, 0.5,
cleaned_data!AL62&gt;=22, 0.25)</f>
        <v>1</v>
      </c>
      <c r="AA62" cm="1">
        <f t="array" ref="AA62">_xlfn.IFS(cleaned_data!AH62=0, 1,
cleaned_data!AH62=1, 0.75,
cleaned_data!AH62=2, 0.5,
cleaned_data!AH62&gt;=3, 0.25)</f>
        <v>0.5</v>
      </c>
      <c r="AB62" cm="1">
        <f t="array" ref="AB62">_xlfn.IFS(cleaned_data!AO62="", "",
cleaned_data!AO62&gt;=50, 1,
cleaned_data!AO62&gt;=30, 0.75,
cleaned_data!AO62&gt;=10, 0.5,
cleaned_data!AO62&lt;10, 0.25)</f>
        <v>0.75</v>
      </c>
      <c r="AC62" cm="1">
        <f t="array" ref="AC62">_xlfn.IFS(cleaned_data!AP62&gt;=50,1, cleaned_data!AP62&gt;=30,0.75, cleaned_data!AP62&gt;=10,0.5, cleaned_data!AP62&lt;10,0.25)</f>
        <v>0.5</v>
      </c>
      <c r="AD62" cm="1">
        <f t="array" ref="AD62">_xlfn.IFS(cleaned_data!AQ62&gt;=30,1,
cleaned_data!AQ62&gt;=20,0.75,
cleaned_data!AQ62&gt;=10,0.5,
cleaned_data!AQ62&lt;10,0.25)</f>
        <v>0.5</v>
      </c>
      <c r="AE62" cm="1">
        <f t="array" ref="AE62">_xlfn.IFS(cleaned_data!AR62&gt;=75,1,
cleaned_data!AR62&gt;=50,0.75,
cleaned_data!AR62&gt;=25,0.5,
cleaned_data!AR62&lt;25,0.25)</f>
        <v>1</v>
      </c>
      <c r="AF62">
        <f>IF(cleaned_data!AS62="Yes",1,0)</f>
        <v>0</v>
      </c>
    </row>
    <row r="63" spans="1:32" x14ac:dyDescent="0.35">
      <c r="A63" t="s">
        <v>258</v>
      </c>
      <c r="B63" t="s">
        <v>70</v>
      </c>
      <c r="C63">
        <f>IF(cleaned_data!K63="Registered",1,0)</f>
        <v>0</v>
      </c>
      <c r="D63">
        <f>IF(cleaned_data!L63="Yes",1,0)</f>
        <v>0</v>
      </c>
      <c r="E63">
        <f>IF(cleaned_data!M63="Yes",1,0)</f>
        <v>0</v>
      </c>
      <c r="F63">
        <f>IF(cleaned_data!O63="Unknown","",IF(cleaned_data!O63="Yes",1,0))</f>
        <v>0</v>
      </c>
      <c r="G63" cm="1">
        <f t="array" ref="G63">_xlfn.IFS(cleaned_data!N63="Owned",1,cleaned_data!N63="Leased",0.75,cleaned_data!N63="State land",0.5,cleaned_data!N63="Communal",0.25)</f>
        <v>0.25</v>
      </c>
      <c r="H63" s="2" cm="1">
        <f t="array" ref="H63">_xlfn.IFS(cleaned_data!G63&gt;=10,1,cleaned_data!G63&gt;=5,0.75,cleaned_data!G63&gt;=2,0.5,TRUE,0.25)</f>
        <v>1</v>
      </c>
      <c r="I63">
        <f>IF(cleaned_data!P63="None",0,1)</f>
        <v>1</v>
      </c>
      <c r="J63" s="2" cm="1">
        <f t="array" ref="J63">_xlfn.IFS(cleaned_data!H63&gt;=20,1,cleaned_data!H63&gt;=10,0.75,cleaned_data!H63&gt;=5,0.5,cleaned_data!H63&gt;=1,0.25,TRUE,0)</f>
        <v>0.75</v>
      </c>
      <c r="K63" cm="1">
        <f t="array" ref="K63">_xlfn.IFS(cleaned_data!Q63&gt;=100000,1,cleaned_data!Q63&gt;=50000,0.75,cleaned_data!Q63&gt;=10000,0.5,TRUE,0.25)</f>
        <v>0.75</v>
      </c>
      <c r="L63" cm="1">
        <f t="array" ref="L63">_xlfn.IFS(cleaned_data!T63="","",cleaned_data!T63&lt;=10,1,cleaned_data!T63&lt;=25,0.75,cleaned_data!T63&lt;=40,0.5, cleaned_data!T63&gt;40,0.25)</f>
        <v>0.75</v>
      </c>
      <c r="M63">
        <f>IF(cleaned_data!U63="Yes",1,0)</f>
        <v>1</v>
      </c>
      <c r="N63" cm="1">
        <f t="array" ref="N63">_xlfn.IFS(cleaned_data!V63="Unknown","",cleaned_data!V63="Yes",1,TRUE,0)</f>
        <v>1</v>
      </c>
      <c r="O63" cm="1">
        <f t="array" ref="O63">_xlfn.IFS(cleaned_data!S63&gt;=4,1,cleaned_data!S63=3,0.75,cleaned_data!S63=2,0.5,cleaned_data!S63=1,0.25,TRUE,0)</f>
        <v>0.5</v>
      </c>
      <c r="P63" cm="1">
        <f t="array" ref="P63">_xlfn.IFS(cleaned_data!AB63&gt;=50,1,cleaned_data!AB63&gt;=35,0.75,cleaned_data!AB63&gt;=20,0.5,TRUE,0.25)</f>
        <v>0.75</v>
      </c>
      <c r="Q63" cm="1">
        <f t="array" ref="Q63">_xlfn.IFS(cleaned_data!X63&gt;=5,1,cleaned_data!X63&gt;=3,0.75,cleaned_data!X63=2,0.5,cleaned_data!X63=1,0.25,TRUE,0)</f>
        <v>1</v>
      </c>
      <c r="R63">
        <f>IF(cleaned_data!Y63="Yes",1,0)</f>
        <v>1</v>
      </c>
      <c r="S63">
        <f>IF(OR(cleaned_data!AF63="GlobalG.A.P.",cleaned_data!AF63="Fairtrade",cleaned_data!AF63="Organic (CERES)"),1,
IF(OR(cleaned_data!AF63="SIZA",cleaned_data!AF63="Woolworths TNC",cleaned_data!AF63="Checkers Good Farming"),0.75,
IF(cleaned_data!AF63="No Certificate",0,
IF(cleaned_data!AF63="Unknown","",""))))</f>
        <v>1</v>
      </c>
      <c r="T63">
        <f>IF(cleaned_data!AG63="Yes",1,0)</f>
        <v>0</v>
      </c>
      <c r="U63">
        <f>IF(OR(cleaned_data!AD63="No Loan",cleaned_data!AD63="Settled",cleaned_data!AD63="Current"),1,
IF(cleaned_data!AD63="In Arrears",0.5,
IF(cleaned_data!AD63="Defaulted",0,
IF(cleaned_data!AD63="Unknown","",""))))</f>
        <v>1</v>
      </c>
      <c r="V63" cm="1">
        <f t="array" ref="V63">_xlfn.IFS(cleaned_data!AE63&lt;=0.2,1,
cleaned_data!AE63&lt;=0.5,0.75,
cleaned_data!AE63&lt;=1,0.5,
cleaned_data!AE63&gt;1,0.25)</f>
        <v>1</v>
      </c>
      <c r="W63">
        <f>IF(cleaned_data!AJ63="Yes",1,0)</f>
        <v>1</v>
      </c>
      <c r="X63" s="2" cm="1">
        <f t="array" ref="X63">_xlfn.IFS(cleaned_data!AM63="Yes", 1,
cleaned_data!AM63="No", 0,
cleaned_data!AM63="Unknown", "")</f>
        <v>1</v>
      </c>
      <c r="Y63" cm="1">
        <f t="array" ref="Y63">_xlfn.IFS(cleaned_data!AK63="Solar", 1,
cleaned_data!AK63="Generator", 0.75,
cleaned_data!AK63="Eskom grid", 0.5,
TRUE, "")</f>
        <v>0.75</v>
      </c>
      <c r="Z63" cm="1">
        <f t="array" ref="Z63">_xlfn.IFS(cleaned_data!AL63="", "",
cleaned_data!AL63&lt;=8, 1,
cleaned_data!AL63&lt;=14, 0.75,
cleaned_data!AL63&lt;=21, 0.5,
cleaned_data!AL63&gt;=22, 0.25)</f>
        <v>1</v>
      </c>
      <c r="AA63" cm="1">
        <f t="array" ref="AA63">_xlfn.IFS(cleaned_data!AH63=0, 1,
cleaned_data!AH63=1, 0.75,
cleaned_data!AH63=2, 0.5,
cleaned_data!AH63&gt;=3, 0.25)</f>
        <v>0.25</v>
      </c>
      <c r="AB63" cm="1">
        <f t="array" ref="AB63">_xlfn.IFS(cleaned_data!AO63="", "",
cleaned_data!AO63&gt;=50, 1,
cleaned_data!AO63&gt;=30, 0.75,
cleaned_data!AO63&gt;=10, 0.5,
cleaned_data!AO63&lt;10, 0.25)</f>
        <v>1</v>
      </c>
      <c r="AC63" cm="1">
        <f t="array" ref="AC63">_xlfn.IFS(cleaned_data!AP63&gt;=50,1, cleaned_data!AP63&gt;=30,0.75, cleaned_data!AP63&gt;=10,0.5, cleaned_data!AP63&lt;10,0.25)</f>
        <v>1</v>
      </c>
      <c r="AD63" cm="1">
        <f t="array" ref="AD63">_xlfn.IFS(cleaned_data!AQ63&gt;=30,1,
cleaned_data!AQ63&gt;=20,0.75,
cleaned_data!AQ63&gt;=10,0.5,
cleaned_data!AQ63&lt;10,0.25)</f>
        <v>1</v>
      </c>
      <c r="AE63" cm="1">
        <f t="array" ref="AE63">_xlfn.IFS(cleaned_data!AR63&gt;=75,1,
cleaned_data!AR63&gt;=50,0.75,
cleaned_data!AR63&gt;=25,0.5,
cleaned_data!AR63&lt;25,0.25)</f>
        <v>0.75</v>
      </c>
      <c r="AF63">
        <f>IF(cleaned_data!AS63="Yes",1,0)</f>
        <v>1</v>
      </c>
    </row>
    <row r="64" spans="1:32" x14ac:dyDescent="0.35">
      <c r="A64" t="s">
        <v>257</v>
      </c>
      <c r="B64" t="s">
        <v>256</v>
      </c>
      <c r="C64">
        <f>IF(cleaned_data!K64="Registered",1,0)</f>
        <v>0</v>
      </c>
      <c r="D64">
        <f>IF(cleaned_data!L64="Yes",1,0)</f>
        <v>1</v>
      </c>
      <c r="E64">
        <f>IF(cleaned_data!M64="Yes",1,0)</f>
        <v>1</v>
      </c>
      <c r="F64">
        <f>IF(cleaned_data!O64="Unknown","",IF(cleaned_data!O64="Yes",1,0))</f>
        <v>1</v>
      </c>
      <c r="G64" cm="1">
        <f t="array" ref="G64">_xlfn.IFS(cleaned_data!N64="Owned",1,cleaned_data!N64="Leased",0.75,cleaned_data!N64="State land",0.5,cleaned_data!N64="Communal",0.25)</f>
        <v>0.75</v>
      </c>
      <c r="H64" s="2" cm="1">
        <f t="array" ref="H64">_xlfn.IFS(cleaned_data!G64&gt;=10,1,cleaned_data!G64&gt;=5,0.75,cleaned_data!G64&gt;=2,0.5,TRUE,0.25)</f>
        <v>1</v>
      </c>
      <c r="I64">
        <f>IF(cleaned_data!P64="None",0,1)</f>
        <v>1</v>
      </c>
      <c r="J64" s="2" cm="1">
        <f t="array" ref="J64">_xlfn.IFS(cleaned_data!H64&gt;=20,1,cleaned_data!H64&gt;=10,0.75,cleaned_data!H64&gt;=5,0.5,cleaned_data!H64&gt;=1,0.25,TRUE,0)</f>
        <v>0.5</v>
      </c>
      <c r="K64" cm="1">
        <f t="array" ref="K64">_xlfn.IFS(cleaned_data!Q64&gt;=100000,1,cleaned_data!Q64&gt;=50000,0.75,cleaned_data!Q64&gt;=10000,0.5,TRUE,0.25)</f>
        <v>0.75</v>
      </c>
      <c r="L64" cm="1">
        <f t="array" ref="L64">_xlfn.IFS(cleaned_data!T64="","",cleaned_data!T64&lt;=10,1,cleaned_data!T64&lt;=25,0.75,cleaned_data!T64&lt;=40,0.5, cleaned_data!T64&gt;40,0.25)</f>
        <v>0.5</v>
      </c>
      <c r="M64">
        <f>IF(cleaned_data!U64="Yes",1,0)</f>
        <v>0</v>
      </c>
      <c r="N64" cm="1">
        <f t="array" ref="N64">_xlfn.IFS(cleaned_data!V64="Unknown","",cleaned_data!V64="Yes",1,TRUE,0)</f>
        <v>0</v>
      </c>
      <c r="O64" cm="1">
        <f t="array" ref="O64">_xlfn.IFS(cleaned_data!S64&gt;=4,1,cleaned_data!S64=3,0.75,cleaned_data!S64=2,0.5,cleaned_data!S64=1,0.25,TRUE,0)</f>
        <v>1</v>
      </c>
      <c r="P64" cm="1">
        <f t="array" ref="P64">_xlfn.IFS(cleaned_data!AB64&gt;=50,1,cleaned_data!AB64&gt;=35,0.75,cleaned_data!AB64&gt;=20,0.5,TRUE,0.25)</f>
        <v>1</v>
      </c>
      <c r="Q64" cm="1">
        <f t="array" ref="Q64">_xlfn.IFS(cleaned_data!X64&gt;=5,1,cleaned_data!X64&gt;=3,0.75,cleaned_data!X64=2,0.5,cleaned_data!X64=1,0.25,TRUE,0)</f>
        <v>1</v>
      </c>
      <c r="R64">
        <f>IF(cleaned_data!Y64="Yes",1,0)</f>
        <v>0</v>
      </c>
      <c r="S64">
        <f>IF(OR(cleaned_data!AF64="GlobalG.A.P.",cleaned_data!AF64="Fairtrade",cleaned_data!AF64="Organic (CERES)"),1,
IF(OR(cleaned_data!AF64="SIZA",cleaned_data!AF64="Woolworths TNC",cleaned_data!AF64="Checkers Good Farming"),0.75,
IF(cleaned_data!AF64="No Certificate",0,
IF(cleaned_data!AF64="Unknown","",""))))</f>
        <v>0</v>
      </c>
      <c r="T64">
        <f>IF(cleaned_data!AG64="Yes",1,0)</f>
        <v>0</v>
      </c>
      <c r="U64" t="str">
        <f>IF(OR(cleaned_data!AD64="No Loan",cleaned_data!AD64="Settled",cleaned_data!AD64="Current"),1,
IF(cleaned_data!AD64="In Arrears",0.5,
IF(cleaned_data!AD64="Defaulted",0,
IF(cleaned_data!AD64="Unknown","",""))))</f>
        <v/>
      </c>
      <c r="V64" cm="1">
        <f t="array" ref="V64">_xlfn.IFS(cleaned_data!AE64&lt;=0.2,1,
cleaned_data!AE64&lt;=0.5,0.75,
cleaned_data!AE64&lt;=1,0.5,
cleaned_data!AE64&gt;1,0.25)</f>
        <v>0.75</v>
      </c>
      <c r="W64">
        <f>IF(cleaned_data!AJ64="Yes",1,0)</f>
        <v>0</v>
      </c>
      <c r="X64" s="2" cm="1">
        <f t="array" ref="X64">_xlfn.IFS(cleaned_data!AM64="Yes", 1,
cleaned_data!AM64="No", 0,
cleaned_data!AM64="Unknown", "")</f>
        <v>0</v>
      </c>
      <c r="Y64" cm="1">
        <f t="array" ref="Y64">_xlfn.IFS(cleaned_data!AK64="Solar", 1,
cleaned_data!AK64="Generator", 0.75,
cleaned_data!AK64="Eskom grid", 0.5,
TRUE, "")</f>
        <v>0.5</v>
      </c>
      <c r="Z64" cm="1">
        <f t="array" ref="Z64">_xlfn.IFS(cleaned_data!AL64="", "",
cleaned_data!AL64&lt;=8, 1,
cleaned_data!AL64&lt;=14, 0.75,
cleaned_data!AL64&lt;=21, 0.5,
cleaned_data!AL64&gt;=22, 0.25)</f>
        <v>0.5</v>
      </c>
      <c r="AA64" cm="1">
        <f t="array" ref="AA64">_xlfn.IFS(cleaned_data!AH64=0, 1,
cleaned_data!AH64=1, 0.75,
cleaned_data!AH64=2, 0.5,
cleaned_data!AH64&gt;=3, 0.25)</f>
        <v>0.75</v>
      </c>
      <c r="AB64" cm="1">
        <f t="array" ref="AB64">_xlfn.IFS(cleaned_data!AO64="", "",
cleaned_data!AO64&gt;=50, 1,
cleaned_data!AO64&gt;=30, 0.75,
cleaned_data!AO64&gt;=10, 0.5,
cleaned_data!AO64&lt;10, 0.25)</f>
        <v>1</v>
      </c>
      <c r="AC64" cm="1">
        <f t="array" ref="AC64">_xlfn.IFS(cleaned_data!AP64&gt;=50,1, cleaned_data!AP64&gt;=30,0.75, cleaned_data!AP64&gt;=10,0.5, cleaned_data!AP64&lt;10,0.25)</f>
        <v>0.5</v>
      </c>
      <c r="AD64" cm="1">
        <f t="array" ref="AD64">_xlfn.IFS(cleaned_data!AQ64&gt;=30,1,
cleaned_data!AQ64&gt;=20,0.75,
cleaned_data!AQ64&gt;=10,0.5,
cleaned_data!AQ64&lt;10,0.25)</f>
        <v>0.5</v>
      </c>
      <c r="AE64" cm="1">
        <f t="array" ref="AE64">_xlfn.IFS(cleaned_data!AR64&gt;=75,1,
cleaned_data!AR64&gt;=50,0.75,
cleaned_data!AR64&gt;=25,0.5,
cleaned_data!AR64&lt;25,0.25)</f>
        <v>1</v>
      </c>
      <c r="AF64">
        <f>IF(cleaned_data!AS64="Yes",1,0)</f>
        <v>1</v>
      </c>
    </row>
    <row r="65" spans="1:32" hidden="1" x14ac:dyDescent="0.35">
      <c r="A65" t="s">
        <v>255</v>
      </c>
      <c r="B65" t="s">
        <v>254</v>
      </c>
      <c r="C65">
        <f>IF(cleaned_data!K65="Registered",1,0)</f>
        <v>1</v>
      </c>
      <c r="D65">
        <f>IF(cleaned_data!L65="Yes",1,0)</f>
        <v>0</v>
      </c>
      <c r="E65">
        <f>IF(cleaned_data!M65="Yes",1,0)</f>
        <v>0</v>
      </c>
      <c r="F65">
        <f>IF(cleaned_data!O65="Unknown","",IF(cleaned_data!O65="Yes",1,0))</f>
        <v>0</v>
      </c>
      <c r="G65" cm="1">
        <f t="array" ref="G65">_xlfn.IFS(cleaned_data!N65="Owned",1,cleaned_data!N65="Leased",0.75,cleaned_data!N65="State land",0.5,cleaned_data!N65="Communal",0.25)</f>
        <v>0.25</v>
      </c>
      <c r="H65" s="2" cm="1">
        <f t="array" ref="H65">_xlfn.IFS(cleaned_data!G65&gt;=10,1,cleaned_data!G65&gt;=5,0.75,cleaned_data!G65&gt;=2,0.5,TRUE,0.25)</f>
        <v>1</v>
      </c>
      <c r="I65">
        <f>IF(cleaned_data!P65="None",0,1)</f>
        <v>0</v>
      </c>
      <c r="J65" s="2" cm="1">
        <f t="array" ref="J65">_xlfn.IFS(cleaned_data!H65&gt;=20,1,cleaned_data!H65&gt;=10,0.75,cleaned_data!H65&gt;=5,0.5,cleaned_data!H65&gt;=1,0.25,TRUE,0)</f>
        <v>1</v>
      </c>
      <c r="K65" cm="1">
        <f t="array" ref="K65">_xlfn.IFS(cleaned_data!Q65&gt;=100000,1,cleaned_data!Q65&gt;=50000,0.75,cleaned_data!Q65&gt;=10000,0.5,TRUE,0.25)</f>
        <v>0.75</v>
      </c>
      <c r="L65" cm="1">
        <f t="array" ref="L65">_xlfn.IFS(cleaned_data!T65="","",cleaned_data!T65&lt;=10,1,cleaned_data!T65&lt;=25,0.75,cleaned_data!T65&lt;=40,0.5, cleaned_data!T65&gt;40,0.25)</f>
        <v>0.5</v>
      </c>
      <c r="M65">
        <f>IF(cleaned_data!U65="Yes",1,0)</f>
        <v>1</v>
      </c>
      <c r="N65" cm="1">
        <f t="array" ref="N65">_xlfn.IFS(cleaned_data!V65="Unknown","",cleaned_data!V65="Yes",1,TRUE,0)</f>
        <v>0</v>
      </c>
      <c r="O65" cm="1">
        <f t="array" ref="O65">_xlfn.IFS(cleaned_data!S65&gt;=4,1,cleaned_data!S65=3,0.75,cleaned_data!S65=2,0.5,cleaned_data!S65=1,0.25,TRUE,0)</f>
        <v>0.75</v>
      </c>
      <c r="P65" cm="1">
        <f t="array" ref="P65">_xlfn.IFS(cleaned_data!AB65&gt;=50,1,cleaned_data!AB65&gt;=35,0.75,cleaned_data!AB65&gt;=20,0.5,TRUE,0.25)</f>
        <v>0.5</v>
      </c>
      <c r="Q65" cm="1">
        <f t="array" ref="Q65">_xlfn.IFS(cleaned_data!X65&gt;=5,1,cleaned_data!X65&gt;=3,0.75,cleaned_data!X65=2,0.5,cleaned_data!X65=1,0.25,TRUE,0)</f>
        <v>0.5</v>
      </c>
      <c r="R65">
        <f>IF(cleaned_data!Y65="Yes",1,0)</f>
        <v>0</v>
      </c>
      <c r="S65">
        <f>IF(OR(cleaned_data!AF65="GlobalG.A.P.",cleaned_data!AF65="Fairtrade",cleaned_data!AF65="Organic (CERES)"),1,
IF(OR(cleaned_data!AF65="SIZA",cleaned_data!AF65="Woolworths TNC",cleaned_data!AF65="Checkers Good Farming"),0.75,
IF(cleaned_data!AF65="No Certificate",0,
IF(cleaned_data!AF65="Unknown","",""))))</f>
        <v>0</v>
      </c>
      <c r="T65">
        <f>IF(cleaned_data!AG65="Yes",1,0)</f>
        <v>1</v>
      </c>
      <c r="U65" t="str">
        <f>IF(OR(cleaned_data!AD65="No Loan",cleaned_data!AD65="Settled",cleaned_data!AD65="Current"),1,
IF(cleaned_data!AD65="In Arrears",0.5,
IF(cleaned_data!AD65="Defaulted",0,
IF(cleaned_data!AD65="Unknown","",""))))</f>
        <v/>
      </c>
      <c r="V65" cm="1">
        <f t="array" ref="V65">_xlfn.IFS(cleaned_data!AE65&lt;=0.2,1,
cleaned_data!AE65&lt;=0.5,0.75,
cleaned_data!AE65&lt;=1,0.5,
cleaned_data!AE65&gt;1,0.25)</f>
        <v>1</v>
      </c>
      <c r="W65">
        <f>IF(cleaned_data!AJ65="Yes",1,0)</f>
        <v>1</v>
      </c>
      <c r="X65" s="2" cm="1">
        <f t="array" ref="X65">_xlfn.IFS(cleaned_data!AM65="Yes", 1,
cleaned_data!AM65="No", 0,
cleaned_data!AM65="Unknown", "")</f>
        <v>1</v>
      </c>
      <c r="Y65" cm="1">
        <f t="array" ref="Y65">_xlfn.IFS(cleaned_data!AK65="Solar", 1,
cleaned_data!AK65="Generator", 0.75,
cleaned_data!AK65="Eskom grid", 0.5,
TRUE, "")</f>
        <v>0.5</v>
      </c>
      <c r="Z65" cm="1">
        <f t="array" ref="Z65">_xlfn.IFS(cleaned_data!AL65="", "",
cleaned_data!AL65&lt;=8, 1,
cleaned_data!AL65&lt;=14, 0.75,
cleaned_data!AL65&lt;=21, 0.5,
cleaned_data!AL65&gt;=22, 0.25)</f>
        <v>0.5</v>
      </c>
      <c r="AA65" cm="1">
        <f t="array" ref="AA65">_xlfn.IFS(cleaned_data!AH65=0, 1,
cleaned_data!AH65=1, 0.75,
cleaned_data!AH65=2, 0.5,
cleaned_data!AH65&gt;=3, 0.25)</f>
        <v>0.75</v>
      </c>
      <c r="AB65" cm="1">
        <f t="array" ref="AB65">_xlfn.IFS(cleaned_data!AO65="", "",
cleaned_data!AO65&gt;=50, 1,
cleaned_data!AO65&gt;=30, 0.75,
cleaned_data!AO65&gt;=10, 0.5,
cleaned_data!AO65&lt;10, 0.25)</f>
        <v>0.75</v>
      </c>
      <c r="AC65" cm="1">
        <f t="array" ref="AC65">_xlfn.IFS(cleaned_data!AP65&gt;=50,1, cleaned_data!AP65&gt;=30,0.75, cleaned_data!AP65&gt;=10,0.5, cleaned_data!AP65&lt;10,0.25)</f>
        <v>1</v>
      </c>
      <c r="AD65" cm="1">
        <f t="array" ref="AD65">_xlfn.IFS(cleaned_data!AQ65&gt;=30,1,
cleaned_data!AQ65&gt;=20,0.75,
cleaned_data!AQ65&gt;=10,0.5,
cleaned_data!AQ65&lt;10,0.25)</f>
        <v>0.5</v>
      </c>
      <c r="AE65" cm="1">
        <f t="array" ref="AE65">_xlfn.IFS(cleaned_data!AR65&gt;=75,1,
cleaned_data!AR65&gt;=50,0.75,
cleaned_data!AR65&gt;=25,0.5,
cleaned_data!AR65&lt;25,0.25)</f>
        <v>0.75</v>
      </c>
      <c r="AF65">
        <f>IF(cleaned_data!AS65="Yes",1,0)</f>
        <v>0</v>
      </c>
    </row>
    <row r="66" spans="1:32" hidden="1" x14ac:dyDescent="0.35">
      <c r="A66" t="s">
        <v>252</v>
      </c>
      <c r="B66" t="s">
        <v>251</v>
      </c>
      <c r="C66">
        <f>IF(cleaned_data!K66="Registered",1,0)</f>
        <v>0</v>
      </c>
      <c r="D66">
        <f>IF(cleaned_data!L66="Yes",1,0)</f>
        <v>1</v>
      </c>
      <c r="E66">
        <f>IF(cleaned_data!M66="Yes",1,0)</f>
        <v>1</v>
      </c>
      <c r="F66">
        <f>IF(cleaned_data!O66="Unknown","",IF(cleaned_data!O66="Yes",1,0))</f>
        <v>0</v>
      </c>
      <c r="G66" cm="1">
        <f t="array" ref="G66">_xlfn.IFS(cleaned_data!N66="Owned",1,cleaned_data!N66="Leased",0.75,cleaned_data!N66="State land",0.5,cleaned_data!N66="Communal",0.25)</f>
        <v>1</v>
      </c>
      <c r="H66" s="2" cm="1">
        <f t="array" ref="H66">_xlfn.IFS(cleaned_data!G66&gt;=10,1,cleaned_data!G66&gt;=5,0.75,cleaned_data!G66&gt;=2,0.5,TRUE,0.25)</f>
        <v>1</v>
      </c>
      <c r="I66">
        <f>IF(cleaned_data!P66="None",0,1)</f>
        <v>1</v>
      </c>
      <c r="J66" s="2" cm="1">
        <f t="array" ref="J66">_xlfn.IFS(cleaned_data!H66&gt;=20,1,cleaned_data!H66&gt;=10,0.75,cleaned_data!H66&gt;=5,0.5,cleaned_data!H66&gt;=1,0.25,TRUE,0)</f>
        <v>1</v>
      </c>
      <c r="K66" cm="1">
        <f t="array" ref="K66">_xlfn.IFS(cleaned_data!Q66&gt;=100000,1,cleaned_data!Q66&gt;=50000,0.75,cleaned_data!Q66&gt;=10000,0.5,TRUE,0.25)</f>
        <v>0.75</v>
      </c>
      <c r="L66" cm="1">
        <f t="array" ref="L66">_xlfn.IFS(cleaned_data!T66="","",cleaned_data!T66&lt;=10,1,cleaned_data!T66&lt;=25,0.75,cleaned_data!T66&lt;=40,0.5, cleaned_data!T66&gt;40,0.25)</f>
        <v>0.5</v>
      </c>
      <c r="M66">
        <f>IF(cleaned_data!U66="Yes",1,0)</f>
        <v>1</v>
      </c>
      <c r="N66" cm="1">
        <f t="array" ref="N66">_xlfn.IFS(cleaned_data!V66="Unknown","",cleaned_data!V66="Yes",1,TRUE,0)</f>
        <v>1</v>
      </c>
      <c r="O66" cm="1">
        <f t="array" ref="O66">_xlfn.IFS(cleaned_data!S66&gt;=4,1,cleaned_data!S66=3,0.75,cleaned_data!S66=2,0.5,cleaned_data!S66=1,0.25,TRUE,0)</f>
        <v>1</v>
      </c>
      <c r="P66" cm="1">
        <f t="array" ref="P66">_xlfn.IFS(cleaned_data!AB66&gt;=50,1,cleaned_data!AB66&gt;=35,0.75,cleaned_data!AB66&gt;=20,0.5,TRUE,0.25)</f>
        <v>0.5</v>
      </c>
      <c r="Q66" cm="1">
        <f t="array" ref="Q66">_xlfn.IFS(cleaned_data!X66&gt;=5,1,cleaned_data!X66&gt;=3,0.75,cleaned_data!X66=2,0.5,cleaned_data!X66=1,0.25,TRUE,0)</f>
        <v>0.75</v>
      </c>
      <c r="R66">
        <f>IF(cleaned_data!Y66="Yes",1,0)</f>
        <v>0</v>
      </c>
      <c r="S66">
        <f>IF(OR(cleaned_data!AF66="GlobalG.A.P.",cleaned_data!AF66="Fairtrade",cleaned_data!AF66="Organic (CERES)"),1,
IF(OR(cleaned_data!AF66="SIZA",cleaned_data!AF66="Woolworths TNC",cleaned_data!AF66="Checkers Good Farming"),0.75,
IF(cleaned_data!AF66="No Certificate",0,
IF(cleaned_data!AF66="Unknown","",""))))</f>
        <v>0</v>
      </c>
      <c r="T66">
        <f>IF(cleaned_data!AG66="Yes",1,0)</f>
        <v>0</v>
      </c>
      <c r="U66">
        <f>IF(OR(cleaned_data!AD66="No Loan",cleaned_data!AD66="Settled",cleaned_data!AD66="Current"),1,
IF(cleaned_data!AD66="In Arrears",0.5,
IF(cleaned_data!AD66="Defaulted",0,
IF(cleaned_data!AD66="Unknown","",""))))</f>
        <v>1</v>
      </c>
      <c r="V66" cm="1">
        <f t="array" ref="V66">_xlfn.IFS(cleaned_data!AE66&lt;=0.2,1,
cleaned_data!AE66&lt;=0.5,0.75,
cleaned_data!AE66&lt;=1,0.5,
cleaned_data!AE66&gt;1,0.25)</f>
        <v>1</v>
      </c>
      <c r="W66">
        <f>IF(cleaned_data!AJ66="Yes",1,0)</f>
        <v>1</v>
      </c>
      <c r="X66" s="2" cm="1">
        <f t="array" ref="X66">_xlfn.IFS(cleaned_data!AM66="Yes", 1,
cleaned_data!AM66="No", 0,
cleaned_data!AM66="Unknown", "")</f>
        <v>0</v>
      </c>
      <c r="Y66" cm="1">
        <f t="array" ref="Y66">_xlfn.IFS(cleaned_data!AK66="Solar", 1,
cleaned_data!AK66="Generator", 0.75,
cleaned_data!AK66="Eskom grid", 0.5,
TRUE, "")</f>
        <v>0.75</v>
      </c>
      <c r="Z66" cm="1">
        <f t="array" ref="Z66">_xlfn.IFS(cleaned_data!AL66="", "",
cleaned_data!AL66&lt;=8, 1,
cleaned_data!AL66&lt;=14, 0.75,
cleaned_data!AL66&lt;=21, 0.5,
cleaned_data!AL66&gt;=22, 0.25)</f>
        <v>1</v>
      </c>
      <c r="AA66" cm="1">
        <f t="array" ref="AA66">_xlfn.IFS(cleaned_data!AH66=0, 1,
cleaned_data!AH66=1, 0.75,
cleaned_data!AH66=2, 0.5,
cleaned_data!AH66&gt;=3, 0.25)</f>
        <v>1</v>
      </c>
      <c r="AB66" cm="1">
        <f t="array" ref="AB66">_xlfn.IFS(cleaned_data!AO66="", "",
cleaned_data!AO66&gt;=50, 1,
cleaned_data!AO66&gt;=30, 0.75,
cleaned_data!AO66&gt;=10, 0.5,
cleaned_data!AO66&lt;10, 0.25)</f>
        <v>0.75</v>
      </c>
      <c r="AC66" cm="1">
        <f t="array" ref="AC66">_xlfn.IFS(cleaned_data!AP66&gt;=50,1, cleaned_data!AP66&gt;=30,0.75, cleaned_data!AP66&gt;=10,0.5, cleaned_data!AP66&lt;10,0.25)</f>
        <v>1</v>
      </c>
      <c r="AD66" cm="1">
        <f t="array" ref="AD66">_xlfn.IFS(cleaned_data!AQ66&gt;=30,1,
cleaned_data!AQ66&gt;=20,0.75,
cleaned_data!AQ66&gt;=10,0.5,
cleaned_data!AQ66&lt;10,0.25)</f>
        <v>0.75</v>
      </c>
      <c r="AE66" cm="1">
        <f t="array" ref="AE66">_xlfn.IFS(cleaned_data!AR66&gt;=75,1,
cleaned_data!AR66&gt;=50,0.75,
cleaned_data!AR66&gt;=25,0.5,
cleaned_data!AR66&lt;25,0.25)</f>
        <v>1</v>
      </c>
      <c r="AF66">
        <f>IF(cleaned_data!AS66="Yes",1,0)</f>
        <v>0</v>
      </c>
    </row>
    <row r="67" spans="1:32" x14ac:dyDescent="0.35">
      <c r="A67" t="s">
        <v>249</v>
      </c>
      <c r="B67" t="s">
        <v>248</v>
      </c>
      <c r="C67">
        <f>IF(cleaned_data!K67="Registered",1,0)</f>
        <v>1</v>
      </c>
      <c r="D67">
        <f>IF(cleaned_data!L67="Yes",1,0)</f>
        <v>0</v>
      </c>
      <c r="E67">
        <f>IF(cleaned_data!M67="Yes",1,0)</f>
        <v>1</v>
      </c>
      <c r="F67">
        <f>IF(cleaned_data!O67="Unknown","",IF(cleaned_data!O67="Yes",1,0))</f>
        <v>1</v>
      </c>
      <c r="G67" cm="1">
        <f t="array" ref="G67">_xlfn.IFS(cleaned_data!N67="Owned",1,cleaned_data!N67="Leased",0.75,cleaned_data!N67="State land",0.5,cleaned_data!N67="Communal",0.25)</f>
        <v>1</v>
      </c>
      <c r="H67" s="2" cm="1">
        <f t="array" ref="H67">_xlfn.IFS(cleaned_data!G67&gt;=10,1,cleaned_data!G67&gt;=5,0.75,cleaned_data!G67&gt;=2,0.5,TRUE,0.25)</f>
        <v>1</v>
      </c>
      <c r="I67">
        <f>IF(cleaned_data!P67="None",0,1)</f>
        <v>0</v>
      </c>
      <c r="J67" s="2" cm="1">
        <f t="array" ref="J67">_xlfn.IFS(cleaned_data!H67&gt;=20,1,cleaned_data!H67&gt;=10,0.75,cleaned_data!H67&gt;=5,0.5,cleaned_data!H67&gt;=1,0.25,TRUE,0)</f>
        <v>0.75</v>
      </c>
      <c r="K67" cm="1">
        <f t="array" ref="K67">_xlfn.IFS(cleaned_data!Q67&gt;=100000,1,cleaned_data!Q67&gt;=50000,0.75,cleaned_data!Q67&gt;=10000,0.5,TRUE,0.25)</f>
        <v>0.5</v>
      </c>
      <c r="L67" cm="1">
        <f t="array" ref="L67">_xlfn.IFS(cleaned_data!T67="","",cleaned_data!T67&lt;=10,1,cleaned_data!T67&lt;=25,0.75,cleaned_data!T67&lt;=40,0.5, cleaned_data!T67&gt;40,0.25)</f>
        <v>0.75</v>
      </c>
      <c r="M67">
        <f>IF(cleaned_data!U67="Yes",1,0)</f>
        <v>1</v>
      </c>
      <c r="N67" cm="1">
        <f t="array" ref="N67">_xlfn.IFS(cleaned_data!V67="Unknown","",cleaned_data!V67="Yes",1,TRUE,0)</f>
        <v>0</v>
      </c>
      <c r="O67" cm="1">
        <f t="array" ref="O67">_xlfn.IFS(cleaned_data!S67&gt;=4,1,cleaned_data!S67=3,0.75,cleaned_data!S67=2,0.5,cleaned_data!S67=1,0.25,TRUE,0)</f>
        <v>1</v>
      </c>
      <c r="P67" cm="1">
        <f t="array" ref="P67">_xlfn.IFS(cleaned_data!AB67&gt;=50,1,cleaned_data!AB67&gt;=35,0.75,cleaned_data!AB67&gt;=20,0.5,TRUE,0.25)</f>
        <v>1</v>
      </c>
      <c r="Q67" cm="1">
        <f t="array" ref="Q67">_xlfn.IFS(cleaned_data!X67&gt;=5,1,cleaned_data!X67&gt;=3,0.75,cleaned_data!X67=2,0.5,cleaned_data!X67=1,0.25,TRUE,0)</f>
        <v>0.25</v>
      </c>
      <c r="R67">
        <f>IF(cleaned_data!Y67="Yes",1,0)</f>
        <v>1</v>
      </c>
      <c r="S67">
        <f>IF(OR(cleaned_data!AF67="GlobalG.A.P.",cleaned_data!AF67="Fairtrade",cleaned_data!AF67="Organic (CERES)"),1,
IF(OR(cleaned_data!AF67="SIZA",cleaned_data!AF67="Woolworths TNC",cleaned_data!AF67="Checkers Good Farming"),0.75,
IF(cleaned_data!AF67="No Certificate",0,
IF(cleaned_data!AF67="Unknown","",""))))</f>
        <v>0</v>
      </c>
      <c r="T67">
        <f>IF(cleaned_data!AG67="Yes",1,0)</f>
        <v>0</v>
      </c>
      <c r="U67">
        <f>IF(OR(cleaned_data!AD67="No Loan",cleaned_data!AD67="Settled",cleaned_data!AD67="Current"),1,
IF(cleaned_data!AD67="In Arrears",0.5,
IF(cleaned_data!AD67="Defaulted",0,
IF(cleaned_data!AD67="Unknown","",""))))</f>
        <v>1</v>
      </c>
      <c r="V67" cm="1">
        <f t="array" ref="V67">_xlfn.IFS(cleaned_data!AE67&lt;=0.2,1,
cleaned_data!AE67&lt;=0.5,0.75,
cleaned_data!AE67&lt;=1,0.5,
cleaned_data!AE67&gt;1,0.25)</f>
        <v>1</v>
      </c>
      <c r="W67">
        <f>IF(cleaned_data!AJ67="Yes",1,0)</f>
        <v>0</v>
      </c>
      <c r="X67" s="2" cm="1">
        <f t="array" ref="X67">_xlfn.IFS(cleaned_data!AM67="Yes", 1,
cleaned_data!AM67="No", 0,
cleaned_data!AM67="Unknown", "")</f>
        <v>1</v>
      </c>
      <c r="Y67" cm="1">
        <f t="array" ref="Y67">_xlfn.IFS(cleaned_data!AK67="Solar", 1,
cleaned_data!AK67="Generator", 0.75,
cleaned_data!AK67="Eskom grid", 0.5,
TRUE, "")</f>
        <v>0.5</v>
      </c>
      <c r="Z67" cm="1">
        <f t="array" ref="Z67">_xlfn.IFS(cleaned_data!AL67="", "",
cleaned_data!AL67&lt;=8, 1,
cleaned_data!AL67&lt;=14, 0.75,
cleaned_data!AL67&lt;=21, 0.5,
cleaned_data!AL67&gt;=22, 0.25)</f>
        <v>0.5</v>
      </c>
      <c r="AA67" cm="1">
        <f t="array" ref="AA67">_xlfn.IFS(cleaned_data!AH67=0, 1,
cleaned_data!AH67=1, 0.75,
cleaned_data!AH67=2, 0.5,
cleaned_data!AH67&gt;=3, 0.25)</f>
        <v>0.75</v>
      </c>
      <c r="AB67" cm="1">
        <f t="array" ref="AB67">_xlfn.IFS(cleaned_data!AO67="", "",
cleaned_data!AO67&gt;=50, 1,
cleaned_data!AO67&gt;=30, 0.75,
cleaned_data!AO67&gt;=10, 0.5,
cleaned_data!AO67&lt;10, 0.25)</f>
        <v>1</v>
      </c>
      <c r="AC67" cm="1">
        <f t="array" ref="AC67">_xlfn.IFS(cleaned_data!AP67&gt;=50,1, cleaned_data!AP67&gt;=30,0.75, cleaned_data!AP67&gt;=10,0.5, cleaned_data!AP67&lt;10,0.25)</f>
        <v>0.5</v>
      </c>
      <c r="AD67" cm="1">
        <f t="array" ref="AD67">_xlfn.IFS(cleaned_data!AQ67&gt;=30,1,
cleaned_data!AQ67&gt;=20,0.75,
cleaned_data!AQ67&gt;=10,0.5,
cleaned_data!AQ67&lt;10,0.25)</f>
        <v>1</v>
      </c>
      <c r="AE67" cm="1">
        <f t="array" ref="AE67">_xlfn.IFS(cleaned_data!AR67&gt;=75,1,
cleaned_data!AR67&gt;=50,0.75,
cleaned_data!AR67&gt;=25,0.5,
cleaned_data!AR67&lt;25,0.25)</f>
        <v>1</v>
      </c>
      <c r="AF67">
        <f>IF(cleaned_data!AS67="Yes",1,0)</f>
        <v>1</v>
      </c>
    </row>
    <row r="68" spans="1:32" hidden="1" x14ac:dyDescent="0.35">
      <c r="A68" t="s">
        <v>247</v>
      </c>
      <c r="B68" t="s">
        <v>198</v>
      </c>
      <c r="C68">
        <f>IF(cleaned_data!K68="Registered",1,0)</f>
        <v>1</v>
      </c>
      <c r="D68">
        <f>IF(cleaned_data!L68="Yes",1,0)</f>
        <v>1</v>
      </c>
      <c r="E68">
        <f>IF(cleaned_data!M68="Yes",1,0)</f>
        <v>0</v>
      </c>
      <c r="F68">
        <f>IF(cleaned_data!O68="Unknown","",IF(cleaned_data!O68="Yes",1,0))</f>
        <v>0</v>
      </c>
      <c r="G68" cm="1">
        <f t="array" ref="G68">_xlfn.IFS(cleaned_data!N68="Owned",1,cleaned_data!N68="Leased",0.75,cleaned_data!N68="State land",0.5,cleaned_data!N68="Communal",0.25)</f>
        <v>0.5</v>
      </c>
      <c r="H68" s="2" cm="1">
        <f t="array" ref="H68">_xlfn.IFS(cleaned_data!G68&gt;=10,1,cleaned_data!G68&gt;=5,0.75,cleaned_data!G68&gt;=2,0.5,TRUE,0.25)</f>
        <v>1</v>
      </c>
      <c r="I68">
        <f>IF(cleaned_data!P68="None",0,1)</f>
        <v>1</v>
      </c>
      <c r="J68" s="2" cm="1">
        <f t="array" ref="J68">_xlfn.IFS(cleaned_data!H68&gt;=20,1,cleaned_data!H68&gt;=10,0.75,cleaned_data!H68&gt;=5,0.5,cleaned_data!H68&gt;=1,0.25,TRUE,0)</f>
        <v>0.75</v>
      </c>
      <c r="K68" cm="1">
        <f t="array" ref="K68">_xlfn.IFS(cleaned_data!Q68&gt;=100000,1,cleaned_data!Q68&gt;=50000,0.75,cleaned_data!Q68&gt;=10000,0.5,TRUE,0.25)</f>
        <v>1</v>
      </c>
      <c r="L68" cm="1">
        <f t="array" ref="L68">_xlfn.IFS(cleaned_data!T68="","",cleaned_data!T68&lt;=10,1,cleaned_data!T68&lt;=25,0.75,cleaned_data!T68&lt;=40,0.5, cleaned_data!T68&gt;40,0.25)</f>
        <v>0.75</v>
      </c>
      <c r="M68">
        <f>IF(cleaned_data!U68="Yes",1,0)</f>
        <v>1</v>
      </c>
      <c r="N68" cm="1">
        <f t="array" ref="N68">_xlfn.IFS(cleaned_data!V68="Unknown","",cleaned_data!V68="Yes",1,TRUE,0)</f>
        <v>0</v>
      </c>
      <c r="O68" cm="1">
        <f t="array" ref="O68">_xlfn.IFS(cleaned_data!S68&gt;=4,1,cleaned_data!S68=3,0.75,cleaned_data!S68=2,0.5,cleaned_data!S68=1,0.25,TRUE,0)</f>
        <v>1</v>
      </c>
      <c r="P68" cm="1">
        <f t="array" ref="P68">_xlfn.IFS(cleaned_data!AB68&gt;=50,1,cleaned_data!AB68&gt;=35,0.75,cleaned_data!AB68&gt;=20,0.5,TRUE,0.25)</f>
        <v>0.75</v>
      </c>
      <c r="Q68" cm="1">
        <f t="array" ref="Q68">_xlfn.IFS(cleaned_data!X68&gt;=5,1,cleaned_data!X68&gt;=3,0.75,cleaned_data!X68=2,0.5,cleaned_data!X68=1,0.25,TRUE,0)</f>
        <v>0.75</v>
      </c>
      <c r="R68">
        <f>IF(cleaned_data!Y68="Yes",1,0)</f>
        <v>0</v>
      </c>
      <c r="S68">
        <f>IF(OR(cleaned_data!AF68="GlobalG.A.P.",cleaned_data!AF68="Fairtrade",cleaned_data!AF68="Organic (CERES)"),1,
IF(OR(cleaned_data!AF68="SIZA",cleaned_data!AF68="Woolworths TNC",cleaned_data!AF68="Checkers Good Farming"),0.75,
IF(cleaned_data!AF68="No Certificate",0,
IF(cleaned_data!AF68="Unknown","",""))))</f>
        <v>1</v>
      </c>
      <c r="T68">
        <f>IF(cleaned_data!AG68="Yes",1,0)</f>
        <v>0</v>
      </c>
      <c r="U68">
        <f>IF(OR(cleaned_data!AD68="No Loan",cleaned_data!AD68="Settled",cleaned_data!AD68="Current"),1,
IF(cleaned_data!AD68="In Arrears",0.5,
IF(cleaned_data!AD68="Defaulted",0,
IF(cleaned_data!AD68="Unknown","",""))))</f>
        <v>1</v>
      </c>
      <c r="V68" cm="1">
        <f t="array" ref="V68">_xlfn.IFS(cleaned_data!AE68&lt;=0.2,1,
cleaned_data!AE68&lt;=0.5,0.75,
cleaned_data!AE68&lt;=1,0.5,
cleaned_data!AE68&gt;1,0.25)</f>
        <v>1</v>
      </c>
      <c r="W68">
        <f>IF(cleaned_data!AJ68="Yes",1,0)</f>
        <v>1</v>
      </c>
      <c r="X68" s="2" cm="1">
        <f t="array" ref="X68">_xlfn.IFS(cleaned_data!AM68="Yes", 1,
cleaned_data!AM68="No", 0,
cleaned_data!AM68="Unknown", "")</f>
        <v>1</v>
      </c>
      <c r="Y68" cm="1">
        <f t="array" ref="Y68">_xlfn.IFS(cleaned_data!AK68="Solar", 1,
cleaned_data!AK68="Generator", 0.75,
cleaned_data!AK68="Eskom grid", 0.5,
TRUE, "")</f>
        <v>0.5</v>
      </c>
      <c r="Z68" cm="1">
        <f t="array" ref="Z68">_xlfn.IFS(cleaned_data!AL68="", "",
cleaned_data!AL68&lt;=8, 1,
cleaned_data!AL68&lt;=14, 0.75,
cleaned_data!AL68&lt;=21, 0.5,
cleaned_data!AL68&gt;=22, 0.25)</f>
        <v>0.5</v>
      </c>
      <c r="AA68" cm="1">
        <f t="array" ref="AA68">_xlfn.IFS(cleaned_data!AH68=0, 1,
cleaned_data!AH68=1, 0.75,
cleaned_data!AH68=2, 0.5,
cleaned_data!AH68&gt;=3, 0.25)</f>
        <v>1</v>
      </c>
      <c r="AB68" cm="1">
        <f t="array" ref="AB68">_xlfn.IFS(cleaned_data!AO68="", "",
cleaned_data!AO68&gt;=50, 1,
cleaned_data!AO68&gt;=30, 0.75,
cleaned_data!AO68&gt;=10, 0.5,
cleaned_data!AO68&lt;10, 0.25)</f>
        <v>0.5</v>
      </c>
      <c r="AC68" cm="1">
        <f t="array" ref="AC68">_xlfn.IFS(cleaned_data!AP68&gt;=50,1, cleaned_data!AP68&gt;=30,0.75, cleaned_data!AP68&gt;=10,0.5, cleaned_data!AP68&lt;10,0.25)</f>
        <v>0.5</v>
      </c>
      <c r="AD68" cm="1">
        <f t="array" ref="AD68">_xlfn.IFS(cleaned_data!AQ68&gt;=30,1,
cleaned_data!AQ68&gt;=20,0.75,
cleaned_data!AQ68&gt;=10,0.5,
cleaned_data!AQ68&lt;10,0.25)</f>
        <v>1</v>
      </c>
      <c r="AE68" cm="1">
        <f t="array" ref="AE68">_xlfn.IFS(cleaned_data!AR68&gt;=75,1,
cleaned_data!AR68&gt;=50,0.75,
cleaned_data!AR68&gt;=25,0.5,
cleaned_data!AR68&lt;25,0.25)</f>
        <v>1</v>
      </c>
      <c r="AF68">
        <f>IF(cleaned_data!AS68="Yes",1,0)</f>
        <v>0</v>
      </c>
    </row>
    <row r="69" spans="1:32" x14ac:dyDescent="0.35">
      <c r="A69" t="s">
        <v>246</v>
      </c>
      <c r="B69" t="s">
        <v>245</v>
      </c>
      <c r="C69">
        <f>IF(cleaned_data!K69="Registered",1,0)</f>
        <v>0</v>
      </c>
      <c r="D69">
        <f>IF(cleaned_data!L69="Yes",1,0)</f>
        <v>1</v>
      </c>
      <c r="E69">
        <f>IF(cleaned_data!M69="Yes",1,0)</f>
        <v>0</v>
      </c>
      <c r="F69" t="str">
        <f>IF(cleaned_data!O69="Unknown","",IF(cleaned_data!O69="Yes",1,0))</f>
        <v/>
      </c>
      <c r="G69" cm="1">
        <f t="array" ref="G69">_xlfn.IFS(cleaned_data!N69="Owned",1,cleaned_data!N69="Leased",0.75,cleaned_data!N69="State land",0.5,cleaned_data!N69="Communal",0.25)</f>
        <v>0.25</v>
      </c>
      <c r="H69" s="2" cm="1">
        <f t="array" ref="H69">_xlfn.IFS(cleaned_data!G69&gt;=10,1,cleaned_data!G69&gt;=5,0.75,cleaned_data!G69&gt;=2,0.5,TRUE,0.25)</f>
        <v>1</v>
      </c>
      <c r="I69">
        <f>IF(cleaned_data!P69="None",0,1)</f>
        <v>1</v>
      </c>
      <c r="J69" s="2" cm="1">
        <f t="array" ref="J69">_xlfn.IFS(cleaned_data!H69&gt;=20,1,cleaned_data!H69&gt;=10,0.75,cleaned_data!H69&gt;=5,0.5,cleaned_data!H69&gt;=1,0.25,TRUE,0)</f>
        <v>0.75</v>
      </c>
      <c r="K69" cm="1">
        <f t="array" ref="K69">_xlfn.IFS(cleaned_data!Q69&gt;=100000,1,cleaned_data!Q69&gt;=50000,0.75,cleaned_data!Q69&gt;=10000,0.5,TRUE,0.25)</f>
        <v>0.75</v>
      </c>
      <c r="L69" cm="1">
        <f t="array" ref="L69">_xlfn.IFS(cleaned_data!T69="","",cleaned_data!T69&lt;=10,1,cleaned_data!T69&lt;=25,0.75,cleaned_data!T69&lt;=40,0.5, cleaned_data!T69&gt;40,0.25)</f>
        <v>0.75</v>
      </c>
      <c r="M69">
        <f>IF(cleaned_data!U69="Yes",1,0)</f>
        <v>0</v>
      </c>
      <c r="N69" cm="1">
        <f t="array" ref="N69">_xlfn.IFS(cleaned_data!V69="Unknown","",cleaned_data!V69="Yes",1,TRUE,0)</f>
        <v>0</v>
      </c>
      <c r="O69" cm="1">
        <f t="array" ref="O69">_xlfn.IFS(cleaned_data!S69&gt;=4,1,cleaned_data!S69=3,0.75,cleaned_data!S69=2,0.5,cleaned_data!S69=1,0.25,TRUE,0)</f>
        <v>0.75</v>
      </c>
      <c r="P69" cm="1">
        <f t="array" ref="P69">_xlfn.IFS(cleaned_data!AB69&gt;=50,1,cleaned_data!AB69&gt;=35,0.75,cleaned_data!AB69&gt;=20,0.5,TRUE,0.25)</f>
        <v>0.5</v>
      </c>
      <c r="Q69" cm="1">
        <f t="array" ref="Q69">_xlfn.IFS(cleaned_data!X69&gt;=5,1,cleaned_data!X69&gt;=3,0.75,cleaned_data!X69=2,0.5,cleaned_data!X69=1,0.25,TRUE,0)</f>
        <v>1</v>
      </c>
      <c r="R69">
        <f>IF(cleaned_data!Y69="Yes",1,0)</f>
        <v>1</v>
      </c>
      <c r="S69">
        <f>IF(OR(cleaned_data!AF69="GlobalG.A.P.",cleaned_data!AF69="Fairtrade",cleaned_data!AF69="Organic (CERES)"),1,
IF(OR(cleaned_data!AF69="SIZA",cleaned_data!AF69="Woolworths TNC",cleaned_data!AF69="Checkers Good Farming"),0.75,
IF(cleaned_data!AF69="No Certificate",0,
IF(cleaned_data!AF69="Unknown","",""))))</f>
        <v>0</v>
      </c>
      <c r="T69">
        <f>IF(cleaned_data!AG69="Yes",1,0)</f>
        <v>1</v>
      </c>
      <c r="U69">
        <f>IF(OR(cleaned_data!AD69="No Loan",cleaned_data!AD69="Settled",cleaned_data!AD69="Current"),1,
IF(cleaned_data!AD69="In Arrears",0.5,
IF(cleaned_data!AD69="Defaulted",0,
IF(cleaned_data!AD69="Unknown","",""))))</f>
        <v>1</v>
      </c>
      <c r="V69" cm="1">
        <f t="array" ref="V69">_xlfn.IFS(cleaned_data!AE69&lt;=0.2,1,
cleaned_data!AE69&lt;=0.5,0.75,
cleaned_data!AE69&lt;=1,0.5,
cleaned_data!AE69&gt;1,0.25)</f>
        <v>1</v>
      </c>
      <c r="W69">
        <f>IF(cleaned_data!AJ69="Yes",1,0)</f>
        <v>0</v>
      </c>
      <c r="X69" s="2" cm="1">
        <f t="array" ref="X69">_xlfn.IFS(cleaned_data!AM69="Yes", 1,
cleaned_data!AM69="No", 0,
cleaned_data!AM69="Unknown", "")</f>
        <v>0</v>
      </c>
      <c r="Y69" cm="1">
        <f t="array" ref="Y69">_xlfn.IFS(cleaned_data!AK69="Solar", 1,
cleaned_data!AK69="Generator", 0.75,
cleaned_data!AK69="Eskom grid", 0.5,
TRUE, "")</f>
        <v>1</v>
      </c>
      <c r="Z69" cm="1">
        <f t="array" ref="Z69">_xlfn.IFS(cleaned_data!AL69="", "",
cleaned_data!AL69&lt;=8, 1,
cleaned_data!AL69&lt;=14, 0.75,
cleaned_data!AL69&lt;=21, 0.5,
cleaned_data!AL69&gt;=22, 0.25)</f>
        <v>1</v>
      </c>
      <c r="AA69" cm="1">
        <f t="array" ref="AA69">_xlfn.IFS(cleaned_data!AH69=0, 1,
cleaned_data!AH69=1, 0.75,
cleaned_data!AH69=2, 0.5,
cleaned_data!AH69&gt;=3, 0.25)</f>
        <v>0.5</v>
      </c>
      <c r="AB69" cm="1">
        <f t="array" ref="AB69">_xlfn.IFS(cleaned_data!AO69="", "",
cleaned_data!AO69&gt;=50, 1,
cleaned_data!AO69&gt;=30, 0.75,
cleaned_data!AO69&gt;=10, 0.5,
cleaned_data!AO69&lt;10, 0.25)</f>
        <v>1</v>
      </c>
      <c r="AC69" cm="1">
        <f t="array" ref="AC69">_xlfn.IFS(cleaned_data!AP69&gt;=50,1, cleaned_data!AP69&gt;=30,0.75, cleaned_data!AP69&gt;=10,0.5, cleaned_data!AP69&lt;10,0.25)</f>
        <v>0.75</v>
      </c>
      <c r="AD69" cm="1">
        <f t="array" ref="AD69">_xlfn.IFS(cleaned_data!AQ69&gt;=30,1,
cleaned_data!AQ69&gt;=20,0.75,
cleaned_data!AQ69&gt;=10,0.5,
cleaned_data!AQ69&lt;10,0.25)</f>
        <v>1</v>
      </c>
      <c r="AE69" cm="1">
        <f t="array" ref="AE69">_xlfn.IFS(cleaned_data!AR69&gt;=75,1,
cleaned_data!AR69&gt;=50,0.75,
cleaned_data!AR69&gt;=25,0.5,
cleaned_data!AR69&lt;25,0.25)</f>
        <v>1</v>
      </c>
      <c r="AF69">
        <f>IF(cleaned_data!AS69="Yes",1,0)</f>
        <v>0</v>
      </c>
    </row>
    <row r="70" spans="1:32" hidden="1" x14ac:dyDescent="0.35">
      <c r="A70" t="s">
        <v>244</v>
      </c>
      <c r="B70" t="s">
        <v>139</v>
      </c>
      <c r="C70">
        <f>IF(cleaned_data!K70="Registered",1,0)</f>
        <v>1</v>
      </c>
      <c r="D70">
        <f>IF(cleaned_data!L70="Yes",1,0)</f>
        <v>0</v>
      </c>
      <c r="E70">
        <f>IF(cleaned_data!M70="Yes",1,0)</f>
        <v>1</v>
      </c>
      <c r="F70">
        <f>IF(cleaned_data!O70="Unknown","",IF(cleaned_data!O70="Yes",1,0))</f>
        <v>0</v>
      </c>
      <c r="G70" cm="1">
        <f t="array" ref="G70">_xlfn.IFS(cleaned_data!N70="Owned",1,cleaned_data!N70="Leased",0.75,cleaned_data!N70="State land",0.5,cleaned_data!N70="Communal",0.25)</f>
        <v>1</v>
      </c>
      <c r="H70" s="2" cm="1">
        <f t="array" ref="H70">_xlfn.IFS(cleaned_data!G70&gt;=10,1,cleaned_data!G70&gt;=5,0.75,cleaned_data!G70&gt;=2,0.5,TRUE,0.25)</f>
        <v>1</v>
      </c>
      <c r="I70">
        <f>IF(cleaned_data!P70="None",0,1)</f>
        <v>0</v>
      </c>
      <c r="J70" s="2" cm="1">
        <f t="array" ref="J70">_xlfn.IFS(cleaned_data!H70&gt;=20,1,cleaned_data!H70&gt;=10,0.75,cleaned_data!H70&gt;=5,0.5,cleaned_data!H70&gt;=1,0.25,TRUE,0)</f>
        <v>0.75</v>
      </c>
      <c r="K70" cm="1">
        <f t="array" ref="K70">_xlfn.IFS(cleaned_data!Q70&gt;=100000,1,cleaned_data!Q70&gt;=50000,0.75,cleaned_data!Q70&gt;=10000,0.5,TRUE,0.25)</f>
        <v>0.5</v>
      </c>
      <c r="L70" cm="1">
        <f t="array" ref="L70">_xlfn.IFS(cleaned_data!T70="","",cleaned_data!T70&lt;=10,1,cleaned_data!T70&lt;=25,0.75,cleaned_data!T70&lt;=40,0.5, cleaned_data!T70&gt;40,0.25)</f>
        <v>0.5</v>
      </c>
      <c r="M70">
        <f>IF(cleaned_data!U70="Yes",1,0)</f>
        <v>1</v>
      </c>
      <c r="N70" cm="1">
        <f t="array" ref="N70">_xlfn.IFS(cleaned_data!V70="Unknown","",cleaned_data!V70="Yes",1,TRUE,0)</f>
        <v>0</v>
      </c>
      <c r="O70" cm="1">
        <f t="array" ref="O70">_xlfn.IFS(cleaned_data!S70&gt;=4,1,cleaned_data!S70=3,0.75,cleaned_data!S70=2,0.5,cleaned_data!S70=1,0.25,TRUE,0)</f>
        <v>0.5</v>
      </c>
      <c r="P70" cm="1">
        <f t="array" ref="P70">_xlfn.IFS(cleaned_data!AB70&gt;=50,1,cleaned_data!AB70&gt;=35,0.75,cleaned_data!AB70&gt;=20,0.5,TRUE,0.25)</f>
        <v>0.5</v>
      </c>
      <c r="Q70" cm="1">
        <f t="array" ref="Q70">_xlfn.IFS(cleaned_data!X70&gt;=5,1,cleaned_data!X70&gt;=3,0.75,cleaned_data!X70=2,0.5,cleaned_data!X70=1,0.25,TRUE,0)</f>
        <v>0.5</v>
      </c>
      <c r="R70">
        <f>IF(cleaned_data!Y70="Yes",1,0)</f>
        <v>1</v>
      </c>
      <c r="S70">
        <f>IF(OR(cleaned_data!AF70="GlobalG.A.P.",cleaned_data!AF70="Fairtrade",cleaned_data!AF70="Organic (CERES)"),1,
IF(OR(cleaned_data!AF70="SIZA",cleaned_data!AF70="Woolworths TNC",cleaned_data!AF70="Checkers Good Farming"),0.75,
IF(cleaned_data!AF70="No Certificate",0,
IF(cleaned_data!AF70="Unknown","",""))))</f>
        <v>0.75</v>
      </c>
      <c r="T70">
        <f>IF(cleaned_data!AG70="Yes",1,0)</f>
        <v>0</v>
      </c>
      <c r="U70">
        <f>IF(OR(cleaned_data!AD70="No Loan",cleaned_data!AD70="Settled",cleaned_data!AD70="Current"),1,
IF(cleaned_data!AD70="In Arrears",0.5,
IF(cleaned_data!AD70="Defaulted",0,
IF(cleaned_data!AD70="Unknown","",""))))</f>
        <v>1</v>
      </c>
      <c r="V70" cm="1">
        <f t="array" ref="V70">_xlfn.IFS(cleaned_data!AE70&lt;=0.2,1,
cleaned_data!AE70&lt;=0.5,0.75,
cleaned_data!AE70&lt;=1,0.5,
cleaned_data!AE70&gt;1,0.25)</f>
        <v>1</v>
      </c>
      <c r="W70">
        <f>IF(cleaned_data!AJ70="Yes",1,0)</f>
        <v>1</v>
      </c>
      <c r="X70" s="2" cm="1">
        <f t="array" ref="X70">_xlfn.IFS(cleaned_data!AM70="Yes", 1,
cleaned_data!AM70="No", 0,
cleaned_data!AM70="Unknown", "")</f>
        <v>0</v>
      </c>
      <c r="Y70" cm="1">
        <f t="array" ref="Y70">_xlfn.IFS(cleaned_data!AK70="Solar", 1,
cleaned_data!AK70="Generator", 0.75,
cleaned_data!AK70="Eskom grid", 0.5,
TRUE, "")</f>
        <v>0.5</v>
      </c>
      <c r="Z70" cm="1">
        <f t="array" ref="Z70">_xlfn.IFS(cleaned_data!AL70="", "",
cleaned_data!AL70&lt;=8, 1,
cleaned_data!AL70&lt;=14, 0.75,
cleaned_data!AL70&lt;=21, 0.5,
cleaned_data!AL70&gt;=22, 0.25)</f>
        <v>0.5</v>
      </c>
      <c r="AA70" cm="1">
        <f t="array" ref="AA70">_xlfn.IFS(cleaned_data!AH70=0, 1,
cleaned_data!AH70=1, 0.75,
cleaned_data!AH70=2, 0.5,
cleaned_data!AH70&gt;=3, 0.25)</f>
        <v>0.5</v>
      </c>
      <c r="AB70" cm="1">
        <f t="array" ref="AB70">_xlfn.IFS(cleaned_data!AO70="", "",
cleaned_data!AO70&gt;=50, 1,
cleaned_data!AO70&gt;=30, 0.75,
cleaned_data!AO70&gt;=10, 0.5,
cleaned_data!AO70&lt;10, 0.25)</f>
        <v>0.75</v>
      </c>
      <c r="AC70" cm="1">
        <f t="array" ref="AC70">_xlfn.IFS(cleaned_data!AP70&gt;=50,1, cleaned_data!AP70&gt;=30,0.75, cleaned_data!AP70&gt;=10,0.5, cleaned_data!AP70&lt;10,0.25)</f>
        <v>0.75</v>
      </c>
      <c r="AD70" cm="1">
        <f t="array" ref="AD70">_xlfn.IFS(cleaned_data!AQ70&gt;=30,1,
cleaned_data!AQ70&gt;=20,0.75,
cleaned_data!AQ70&gt;=10,0.5,
cleaned_data!AQ70&lt;10,0.25)</f>
        <v>0.25</v>
      </c>
      <c r="AE70" cm="1">
        <f t="array" ref="AE70">_xlfn.IFS(cleaned_data!AR70&gt;=75,1,
cleaned_data!AR70&gt;=50,0.75,
cleaned_data!AR70&gt;=25,0.5,
cleaned_data!AR70&lt;25,0.25)</f>
        <v>1</v>
      </c>
      <c r="AF70">
        <f>IF(cleaned_data!AS70="Yes",1,0)</f>
        <v>1</v>
      </c>
    </row>
    <row r="71" spans="1:32" hidden="1" x14ac:dyDescent="0.35">
      <c r="A71" t="s">
        <v>242</v>
      </c>
      <c r="B71" t="s">
        <v>241</v>
      </c>
      <c r="C71">
        <f>IF(cleaned_data!K71="Registered",1,0)</f>
        <v>1</v>
      </c>
      <c r="D71">
        <f>IF(cleaned_data!L71="Yes",1,0)</f>
        <v>1</v>
      </c>
      <c r="E71">
        <f>IF(cleaned_data!M71="Yes",1,0)</f>
        <v>0</v>
      </c>
      <c r="F71">
        <f>IF(cleaned_data!O71="Unknown","",IF(cleaned_data!O71="Yes",1,0))</f>
        <v>1</v>
      </c>
      <c r="G71" cm="1">
        <f t="array" ref="G71">_xlfn.IFS(cleaned_data!N71="Owned",1,cleaned_data!N71="Leased",0.75,cleaned_data!N71="State land",0.5,cleaned_data!N71="Communal",0.25)</f>
        <v>1</v>
      </c>
      <c r="H71" s="2" cm="1">
        <f t="array" ref="H71">_xlfn.IFS(cleaned_data!G71&gt;=10,1,cleaned_data!G71&gt;=5,0.75,cleaned_data!G71&gt;=2,0.5,TRUE,0.25)</f>
        <v>1</v>
      </c>
      <c r="I71">
        <f>IF(cleaned_data!P71="None",0,1)</f>
        <v>1</v>
      </c>
      <c r="J71" s="2" cm="1">
        <f t="array" ref="J71">_xlfn.IFS(cleaned_data!H71&gt;=20,1,cleaned_data!H71&gt;=10,0.75,cleaned_data!H71&gt;=5,0.5,cleaned_data!H71&gt;=1,0.25,TRUE,0)</f>
        <v>1</v>
      </c>
      <c r="K71" cm="1">
        <f t="array" ref="K71">_xlfn.IFS(cleaned_data!Q71&gt;=100000,1,cleaned_data!Q71&gt;=50000,0.75,cleaned_data!Q71&gt;=10000,0.5,TRUE,0.25)</f>
        <v>0.75</v>
      </c>
      <c r="L71" cm="1">
        <f t="array" ref="L71">_xlfn.IFS(cleaned_data!T71="","",cleaned_data!T71&lt;=10,1,cleaned_data!T71&lt;=25,0.75,cleaned_data!T71&lt;=40,0.5, cleaned_data!T71&gt;40,0.25)</f>
        <v>0.75</v>
      </c>
      <c r="M71">
        <f>IF(cleaned_data!U71="Yes",1,0)</f>
        <v>1</v>
      </c>
      <c r="N71" cm="1">
        <f t="array" ref="N71">_xlfn.IFS(cleaned_data!V71="Unknown","",cleaned_data!V71="Yes",1,TRUE,0)</f>
        <v>0</v>
      </c>
      <c r="O71" cm="1">
        <f t="array" ref="O71">_xlfn.IFS(cleaned_data!S71&gt;=4,1,cleaned_data!S71=3,0.75,cleaned_data!S71=2,0.5,cleaned_data!S71=1,0.25,TRUE,0)</f>
        <v>1</v>
      </c>
      <c r="P71" cm="1">
        <f t="array" ref="P71">_xlfn.IFS(cleaned_data!AB71&gt;=50,1,cleaned_data!AB71&gt;=35,0.75,cleaned_data!AB71&gt;=20,0.5,TRUE,0.25)</f>
        <v>1</v>
      </c>
      <c r="Q71" cm="1">
        <f t="array" ref="Q71">_xlfn.IFS(cleaned_data!X71&gt;=5,1,cleaned_data!X71&gt;=3,0.75,cleaned_data!X71=2,0.5,cleaned_data!X71=1,0.25,TRUE,0)</f>
        <v>0.75</v>
      </c>
      <c r="R71">
        <f>IF(cleaned_data!Y71="Yes",1,0)</f>
        <v>0</v>
      </c>
      <c r="S71">
        <f>IF(OR(cleaned_data!AF71="GlobalG.A.P.",cleaned_data!AF71="Fairtrade",cleaned_data!AF71="Organic (CERES)"),1,
IF(OR(cleaned_data!AF71="SIZA",cleaned_data!AF71="Woolworths TNC",cleaned_data!AF71="Checkers Good Farming"),0.75,
IF(cleaned_data!AF71="No Certificate",0,
IF(cleaned_data!AF71="Unknown","",""))))</f>
        <v>0</v>
      </c>
      <c r="T71">
        <f>IF(cleaned_data!AG71="Yes",1,0)</f>
        <v>1</v>
      </c>
      <c r="U71">
        <f>IF(OR(cleaned_data!AD71="No Loan",cleaned_data!AD71="Settled",cleaned_data!AD71="Current"),1,
IF(cleaned_data!AD71="In Arrears",0.5,
IF(cleaned_data!AD71="Defaulted",0,
IF(cleaned_data!AD71="Unknown","",""))))</f>
        <v>1</v>
      </c>
      <c r="V71" cm="1">
        <f t="array" ref="V71">_xlfn.IFS(cleaned_data!AE71&lt;=0.2,1,
cleaned_data!AE71&lt;=0.5,0.75,
cleaned_data!AE71&lt;=1,0.5,
cleaned_data!AE71&gt;1,0.25)</f>
        <v>1</v>
      </c>
      <c r="W71">
        <f>IF(cleaned_data!AJ71="Yes",1,0)</f>
        <v>0</v>
      </c>
      <c r="X71" s="2" cm="1">
        <f t="array" ref="X71">_xlfn.IFS(cleaned_data!AM71="Yes", 1,
cleaned_data!AM71="No", 0,
cleaned_data!AM71="Unknown", "")</f>
        <v>0</v>
      </c>
      <c r="Y71" cm="1">
        <f t="array" ref="Y71">_xlfn.IFS(cleaned_data!AK71="Solar", 1,
cleaned_data!AK71="Generator", 0.75,
cleaned_data!AK71="Eskom grid", 0.5,
TRUE, "")</f>
        <v>0.75</v>
      </c>
      <c r="Z71" cm="1">
        <f t="array" ref="Z71">_xlfn.IFS(cleaned_data!AL71="", "",
cleaned_data!AL71&lt;=8, 1,
cleaned_data!AL71&lt;=14, 0.75,
cleaned_data!AL71&lt;=21, 0.5,
cleaned_data!AL71&gt;=22, 0.25)</f>
        <v>1</v>
      </c>
      <c r="AA71" cm="1">
        <f t="array" ref="AA71">_xlfn.IFS(cleaned_data!AH71=0, 1,
cleaned_data!AH71=1, 0.75,
cleaned_data!AH71=2, 0.5,
cleaned_data!AH71&gt;=3, 0.25)</f>
        <v>0.25</v>
      </c>
      <c r="AB71" cm="1">
        <f t="array" ref="AB71">_xlfn.IFS(cleaned_data!AO71="", "",
cleaned_data!AO71&gt;=50, 1,
cleaned_data!AO71&gt;=30, 0.75,
cleaned_data!AO71&gt;=10, 0.5,
cleaned_data!AO71&lt;10, 0.25)</f>
        <v>0.75</v>
      </c>
      <c r="AC71" cm="1">
        <f t="array" ref="AC71">_xlfn.IFS(cleaned_data!AP71&gt;=50,1, cleaned_data!AP71&gt;=30,0.75, cleaned_data!AP71&gt;=10,0.5, cleaned_data!AP71&lt;10,0.25)</f>
        <v>0.75</v>
      </c>
      <c r="AD71" cm="1">
        <f t="array" ref="AD71">_xlfn.IFS(cleaned_data!AQ71&gt;=30,1,
cleaned_data!AQ71&gt;=20,0.75,
cleaned_data!AQ71&gt;=10,0.5,
cleaned_data!AQ71&lt;10,0.25)</f>
        <v>0.25</v>
      </c>
      <c r="AE71" cm="1">
        <f t="array" ref="AE71">_xlfn.IFS(cleaned_data!AR71&gt;=75,1,
cleaned_data!AR71&gt;=50,0.75,
cleaned_data!AR71&gt;=25,0.5,
cleaned_data!AR71&lt;25,0.25)</f>
        <v>0.75</v>
      </c>
      <c r="AF71">
        <f>IF(cleaned_data!AS71="Yes",1,0)</f>
        <v>0</v>
      </c>
    </row>
    <row r="72" spans="1:32" x14ac:dyDescent="0.35">
      <c r="A72" t="s">
        <v>238</v>
      </c>
      <c r="B72" t="s">
        <v>237</v>
      </c>
      <c r="C72">
        <f>IF(cleaned_data!K72="Registered",1,0)</f>
        <v>0</v>
      </c>
      <c r="D72">
        <f>IF(cleaned_data!L72="Yes",1,0)</f>
        <v>1</v>
      </c>
      <c r="E72">
        <f>IF(cleaned_data!M72="Yes",1,0)</f>
        <v>0</v>
      </c>
      <c r="F72">
        <f>IF(cleaned_data!O72="Unknown","",IF(cleaned_data!O72="Yes",1,0))</f>
        <v>1</v>
      </c>
      <c r="G72" cm="1">
        <f t="array" ref="G72">_xlfn.IFS(cleaned_data!N72="Owned",1,cleaned_data!N72="Leased",0.75,cleaned_data!N72="State land",0.5,cleaned_data!N72="Communal",0.25)</f>
        <v>1</v>
      </c>
      <c r="H72" s="2" cm="1">
        <f t="array" ref="H72">_xlfn.IFS(cleaned_data!G72&gt;=10,1,cleaned_data!G72&gt;=5,0.75,cleaned_data!G72&gt;=2,0.5,TRUE,0.25)</f>
        <v>0.25</v>
      </c>
      <c r="I72">
        <f>IF(cleaned_data!P72="None",0,1)</f>
        <v>1</v>
      </c>
      <c r="J72" s="2" cm="1">
        <f t="array" ref="J72">_xlfn.IFS(cleaned_data!H72&gt;=20,1,cleaned_data!H72&gt;=10,0.75,cleaned_data!H72&gt;=5,0.5,cleaned_data!H72&gt;=1,0.25,TRUE,0)</f>
        <v>0.75</v>
      </c>
      <c r="K72" cm="1">
        <f t="array" ref="K72">_xlfn.IFS(cleaned_data!Q72&gt;=100000,1,cleaned_data!Q72&gt;=50000,0.75,cleaned_data!Q72&gt;=10000,0.5,TRUE,0.25)</f>
        <v>0.5</v>
      </c>
      <c r="L72" cm="1">
        <f t="array" ref="L72">_xlfn.IFS(cleaned_data!T72="","",cleaned_data!T72&lt;=10,1,cleaned_data!T72&lt;=25,0.75,cleaned_data!T72&lt;=40,0.5, cleaned_data!T72&gt;40,0.25)</f>
        <v>0.5</v>
      </c>
      <c r="M72">
        <f>IF(cleaned_data!U72="Yes",1,0)</f>
        <v>0</v>
      </c>
      <c r="N72" cm="1">
        <f t="array" ref="N72">_xlfn.IFS(cleaned_data!V72="Unknown","",cleaned_data!V72="Yes",1,TRUE,0)</f>
        <v>0</v>
      </c>
      <c r="O72" cm="1">
        <f t="array" ref="O72">_xlfn.IFS(cleaned_data!S72&gt;=4,1,cleaned_data!S72=3,0.75,cleaned_data!S72=2,0.5,cleaned_data!S72=1,0.25,TRUE,0)</f>
        <v>1</v>
      </c>
      <c r="P72" cm="1">
        <f t="array" ref="P72">_xlfn.IFS(cleaned_data!AB72&gt;=50,1,cleaned_data!AB72&gt;=35,0.75,cleaned_data!AB72&gt;=20,0.5,TRUE,0.25)</f>
        <v>0.75</v>
      </c>
      <c r="Q72" cm="1">
        <f t="array" ref="Q72">_xlfn.IFS(cleaned_data!X72&gt;=5,1,cleaned_data!X72&gt;=3,0.75,cleaned_data!X72=2,0.5,cleaned_data!X72=1,0.25,TRUE,0)</f>
        <v>0.5</v>
      </c>
      <c r="R72">
        <f>IF(cleaned_data!Y72="Yes",1,0)</f>
        <v>0</v>
      </c>
      <c r="S72">
        <f>IF(OR(cleaned_data!AF72="GlobalG.A.P.",cleaned_data!AF72="Fairtrade",cleaned_data!AF72="Organic (CERES)"),1,
IF(OR(cleaned_data!AF72="SIZA",cleaned_data!AF72="Woolworths TNC",cleaned_data!AF72="Checkers Good Farming"),0.75,
IF(cleaned_data!AF72="No Certificate",0,
IF(cleaned_data!AF72="Unknown","",""))))</f>
        <v>1</v>
      </c>
      <c r="T72">
        <f>IF(cleaned_data!AG72="Yes",1,0)</f>
        <v>0</v>
      </c>
      <c r="U72">
        <f>IF(OR(cleaned_data!AD72="No Loan",cleaned_data!AD72="Settled",cleaned_data!AD72="Current"),1,
IF(cleaned_data!AD72="In Arrears",0.5,
IF(cleaned_data!AD72="Defaulted",0,
IF(cleaned_data!AD72="Unknown","",""))))</f>
        <v>1</v>
      </c>
      <c r="V72" cm="1">
        <f t="array" ref="V72">_xlfn.IFS(cleaned_data!AE72&lt;=0.2,1,
cleaned_data!AE72&lt;=0.5,0.75,
cleaned_data!AE72&lt;=1,0.5,
cleaned_data!AE72&gt;1,0.25)</f>
        <v>0.25</v>
      </c>
      <c r="W72">
        <f>IF(cleaned_data!AJ72="Yes",1,0)</f>
        <v>0</v>
      </c>
      <c r="X72" s="2" cm="1">
        <f t="array" ref="X72">_xlfn.IFS(cleaned_data!AM72="Yes", 1,
cleaned_data!AM72="No", 0,
cleaned_data!AM72="Unknown", "")</f>
        <v>1</v>
      </c>
      <c r="Y72" cm="1">
        <f t="array" ref="Y72">_xlfn.IFS(cleaned_data!AK72="Solar", 1,
cleaned_data!AK72="Generator", 0.75,
cleaned_data!AK72="Eskom grid", 0.5,
TRUE, "")</f>
        <v>0.5</v>
      </c>
      <c r="Z72" cm="1">
        <f t="array" ref="Z72">_xlfn.IFS(cleaned_data!AL72="", "",
cleaned_data!AL72&lt;=8, 1,
cleaned_data!AL72&lt;=14, 0.75,
cleaned_data!AL72&lt;=21, 0.5,
cleaned_data!AL72&gt;=22, 0.25)</f>
        <v>0.5</v>
      </c>
      <c r="AA72" cm="1">
        <f t="array" ref="AA72">_xlfn.IFS(cleaned_data!AH72=0, 1,
cleaned_data!AH72=1, 0.75,
cleaned_data!AH72=2, 0.5,
cleaned_data!AH72&gt;=3, 0.25)</f>
        <v>0.25</v>
      </c>
      <c r="AB72" cm="1">
        <f t="array" ref="AB72">_xlfn.IFS(cleaned_data!AO72="", "",
cleaned_data!AO72&gt;=50, 1,
cleaned_data!AO72&gt;=30, 0.75,
cleaned_data!AO72&gt;=10, 0.5,
cleaned_data!AO72&lt;10, 0.25)</f>
        <v>1</v>
      </c>
      <c r="AC72" cm="1">
        <f t="array" ref="AC72">_xlfn.IFS(cleaned_data!AP72&gt;=50,1, cleaned_data!AP72&gt;=30,0.75, cleaned_data!AP72&gt;=10,0.5, cleaned_data!AP72&lt;10,0.25)</f>
        <v>1</v>
      </c>
      <c r="AD72" cm="1">
        <f t="array" ref="AD72">_xlfn.IFS(cleaned_data!AQ72&gt;=30,1,
cleaned_data!AQ72&gt;=20,0.75,
cleaned_data!AQ72&gt;=10,0.5,
cleaned_data!AQ72&lt;10,0.25)</f>
        <v>0.75</v>
      </c>
      <c r="AE72" cm="1">
        <f t="array" ref="AE72">_xlfn.IFS(cleaned_data!AR72&gt;=75,1,
cleaned_data!AR72&gt;=50,0.75,
cleaned_data!AR72&gt;=25,0.5,
cleaned_data!AR72&lt;25,0.25)</f>
        <v>1</v>
      </c>
      <c r="AF72">
        <f>IF(cleaned_data!AS72="Yes",1,0)</f>
        <v>1</v>
      </c>
    </row>
    <row r="73" spans="1:32" x14ac:dyDescent="0.35">
      <c r="A73" t="s">
        <v>236</v>
      </c>
      <c r="B73" t="s">
        <v>235</v>
      </c>
      <c r="C73">
        <f>IF(cleaned_data!K73="Registered",1,0)</f>
        <v>0</v>
      </c>
      <c r="D73">
        <f>IF(cleaned_data!L73="Yes",1,0)</f>
        <v>0</v>
      </c>
      <c r="E73">
        <f>IF(cleaned_data!M73="Yes",1,0)</f>
        <v>1</v>
      </c>
      <c r="F73">
        <f>IF(cleaned_data!O73="Unknown","",IF(cleaned_data!O73="Yes",1,0))</f>
        <v>1</v>
      </c>
      <c r="G73" cm="1">
        <f t="array" ref="G73">_xlfn.IFS(cleaned_data!N73="Owned",1,cleaned_data!N73="Leased",0.75,cleaned_data!N73="State land",0.5,cleaned_data!N73="Communal",0.25)</f>
        <v>1</v>
      </c>
      <c r="H73" s="2" cm="1">
        <f t="array" ref="H73">_xlfn.IFS(cleaned_data!G73&gt;=10,1,cleaned_data!G73&gt;=5,0.75,cleaned_data!G73&gt;=2,0.5,TRUE,0.25)</f>
        <v>0.75</v>
      </c>
      <c r="I73">
        <f>IF(cleaned_data!P73="None",0,1)</f>
        <v>1</v>
      </c>
      <c r="J73" s="2" cm="1">
        <f t="array" ref="J73">_xlfn.IFS(cleaned_data!H73&gt;=20,1,cleaned_data!H73&gt;=10,0.75,cleaned_data!H73&gt;=5,0.5,cleaned_data!H73&gt;=1,0.25,TRUE,0)</f>
        <v>0.75</v>
      </c>
      <c r="K73" cm="1">
        <f t="array" ref="K73">_xlfn.IFS(cleaned_data!Q73&gt;=100000,1,cleaned_data!Q73&gt;=50000,0.75,cleaned_data!Q73&gt;=10000,0.5,TRUE,0.25)</f>
        <v>0.5</v>
      </c>
      <c r="L73" cm="1">
        <f t="array" ref="L73">_xlfn.IFS(cleaned_data!T73="","",cleaned_data!T73&lt;=10,1,cleaned_data!T73&lt;=25,0.75,cleaned_data!T73&lt;=40,0.5, cleaned_data!T73&gt;40,0.25)</f>
        <v>0.5</v>
      </c>
      <c r="M73">
        <f>IF(cleaned_data!U73="Yes",1,0)</f>
        <v>1</v>
      </c>
      <c r="N73" cm="1">
        <f t="array" ref="N73">_xlfn.IFS(cleaned_data!V73="Unknown","",cleaned_data!V73="Yes",1,TRUE,0)</f>
        <v>0</v>
      </c>
      <c r="O73" cm="1">
        <f t="array" ref="O73">_xlfn.IFS(cleaned_data!S73&gt;=4,1,cleaned_data!S73=3,0.75,cleaned_data!S73=2,0.5,cleaned_data!S73=1,0.25,TRUE,0)</f>
        <v>0.75</v>
      </c>
      <c r="P73" cm="1">
        <f t="array" ref="P73">_xlfn.IFS(cleaned_data!AB73&gt;=50,1,cleaned_data!AB73&gt;=35,0.75,cleaned_data!AB73&gt;=20,0.5,TRUE,0.25)</f>
        <v>1</v>
      </c>
      <c r="Q73" cm="1">
        <f t="array" ref="Q73">_xlfn.IFS(cleaned_data!X73&gt;=5,1,cleaned_data!X73&gt;=3,0.75,cleaned_data!X73=2,0.5,cleaned_data!X73=1,0.25,TRUE,0)</f>
        <v>0.75</v>
      </c>
      <c r="R73">
        <f>IF(cleaned_data!Y73="Yes",1,0)</f>
        <v>1</v>
      </c>
      <c r="S73">
        <f>IF(OR(cleaned_data!AF73="GlobalG.A.P.",cleaned_data!AF73="Fairtrade",cleaned_data!AF73="Organic (CERES)"),1,
IF(OR(cleaned_data!AF73="SIZA",cleaned_data!AF73="Woolworths TNC",cleaned_data!AF73="Checkers Good Farming"),0.75,
IF(cleaned_data!AF73="No Certificate",0,
IF(cleaned_data!AF73="Unknown","",""))))</f>
        <v>1</v>
      </c>
      <c r="T73">
        <f>IF(cleaned_data!AG73="Yes",1,0)</f>
        <v>0</v>
      </c>
      <c r="U73">
        <f>IF(OR(cleaned_data!AD73="No Loan",cleaned_data!AD73="Settled",cleaned_data!AD73="Current"),1,
IF(cleaned_data!AD73="In Arrears",0.5,
IF(cleaned_data!AD73="Defaulted",0,
IF(cleaned_data!AD73="Unknown","",""))))</f>
        <v>1</v>
      </c>
      <c r="V73" cm="1">
        <f t="array" ref="V73">_xlfn.IFS(cleaned_data!AE73&lt;=0.2,1,
cleaned_data!AE73&lt;=0.5,0.75,
cleaned_data!AE73&lt;=1,0.5,
cleaned_data!AE73&gt;1,0.25)</f>
        <v>0.5</v>
      </c>
      <c r="W73">
        <f>IF(cleaned_data!AJ73="Yes",1,0)</f>
        <v>1</v>
      </c>
      <c r="X73" s="2" cm="1">
        <f t="array" ref="X73">_xlfn.IFS(cleaned_data!AM73="Yes", 1,
cleaned_data!AM73="No", 0,
cleaned_data!AM73="Unknown", "")</f>
        <v>1</v>
      </c>
      <c r="Y73" cm="1">
        <f t="array" ref="Y73">_xlfn.IFS(cleaned_data!AK73="Solar", 1,
cleaned_data!AK73="Generator", 0.75,
cleaned_data!AK73="Eskom grid", 0.5,
TRUE, "")</f>
        <v>0.5</v>
      </c>
      <c r="Z73" cm="1">
        <f t="array" ref="Z73">_xlfn.IFS(cleaned_data!AL73="", "",
cleaned_data!AL73&lt;=8, 1,
cleaned_data!AL73&lt;=14, 0.75,
cleaned_data!AL73&lt;=21, 0.5,
cleaned_data!AL73&gt;=22, 0.25)</f>
        <v>0.5</v>
      </c>
      <c r="AA73" cm="1">
        <f t="array" ref="AA73">_xlfn.IFS(cleaned_data!AH73=0, 1,
cleaned_data!AH73=1, 0.75,
cleaned_data!AH73=2, 0.5,
cleaned_data!AH73&gt;=3, 0.25)</f>
        <v>0.5</v>
      </c>
      <c r="AB73" cm="1">
        <f t="array" ref="AB73">_xlfn.IFS(cleaned_data!AO73="", "",
cleaned_data!AO73&gt;=50, 1,
cleaned_data!AO73&gt;=30, 0.75,
cleaned_data!AO73&gt;=10, 0.5,
cleaned_data!AO73&lt;10, 0.25)</f>
        <v>1</v>
      </c>
      <c r="AC73" cm="1">
        <f t="array" ref="AC73">_xlfn.IFS(cleaned_data!AP73&gt;=50,1, cleaned_data!AP73&gt;=30,0.75, cleaned_data!AP73&gt;=10,0.5, cleaned_data!AP73&lt;10,0.25)</f>
        <v>0.5</v>
      </c>
      <c r="AD73" cm="1">
        <f t="array" ref="AD73">_xlfn.IFS(cleaned_data!AQ73&gt;=30,1,
cleaned_data!AQ73&gt;=20,0.75,
cleaned_data!AQ73&gt;=10,0.5,
cleaned_data!AQ73&lt;10,0.25)</f>
        <v>1</v>
      </c>
      <c r="AE73" cm="1">
        <f t="array" ref="AE73">_xlfn.IFS(cleaned_data!AR73&gt;=75,1,
cleaned_data!AR73&gt;=50,0.75,
cleaned_data!AR73&gt;=25,0.5,
cleaned_data!AR73&lt;25,0.25)</f>
        <v>0.5</v>
      </c>
      <c r="AF73">
        <f>IF(cleaned_data!AS73="Yes",1,0)</f>
        <v>0</v>
      </c>
    </row>
    <row r="74" spans="1:32" hidden="1" x14ac:dyDescent="0.35">
      <c r="A74" t="s">
        <v>234</v>
      </c>
      <c r="B74" t="s">
        <v>233</v>
      </c>
      <c r="C74">
        <f>IF(cleaned_data!K74="Registered",1,0)</f>
        <v>1</v>
      </c>
      <c r="D74">
        <f>IF(cleaned_data!L74="Yes",1,0)</f>
        <v>1</v>
      </c>
      <c r="E74">
        <f>IF(cleaned_data!M74="Yes",1,0)</f>
        <v>0</v>
      </c>
      <c r="F74">
        <f>IF(cleaned_data!O74="Unknown","",IF(cleaned_data!O74="Yes",1,0))</f>
        <v>1</v>
      </c>
      <c r="G74" cm="1">
        <f t="array" ref="G74">_xlfn.IFS(cleaned_data!N74="Owned",1,cleaned_data!N74="Leased",0.75,cleaned_data!N74="State land",0.5,cleaned_data!N74="Communal",0.25)</f>
        <v>0.75</v>
      </c>
      <c r="H74" s="2" cm="1">
        <f t="array" ref="H74">_xlfn.IFS(cleaned_data!G74&gt;=10,1,cleaned_data!G74&gt;=5,0.75,cleaned_data!G74&gt;=2,0.5,TRUE,0.25)</f>
        <v>1</v>
      </c>
      <c r="I74">
        <f>IF(cleaned_data!P74="None",0,1)</f>
        <v>1</v>
      </c>
      <c r="J74" s="2" cm="1">
        <f t="array" ref="J74">_xlfn.IFS(cleaned_data!H74&gt;=20,1,cleaned_data!H74&gt;=10,0.75,cleaned_data!H74&gt;=5,0.5,cleaned_data!H74&gt;=1,0.25,TRUE,0)</f>
        <v>1</v>
      </c>
      <c r="K74" cm="1">
        <f t="array" ref="K74">_xlfn.IFS(cleaned_data!Q74&gt;=100000,1,cleaned_data!Q74&gt;=50000,0.75,cleaned_data!Q74&gt;=10000,0.5,TRUE,0.25)</f>
        <v>0.75</v>
      </c>
      <c r="L74" cm="1">
        <f t="array" ref="L74">_xlfn.IFS(cleaned_data!T74="","",cleaned_data!T74&lt;=10,1,cleaned_data!T74&lt;=25,0.75,cleaned_data!T74&lt;=40,0.5, cleaned_data!T74&gt;40,0.25)</f>
        <v>0.75</v>
      </c>
      <c r="M74">
        <f>IF(cleaned_data!U74="Yes",1,0)</f>
        <v>1</v>
      </c>
      <c r="N74" t="str" cm="1">
        <f t="array" ref="N74">_xlfn.IFS(cleaned_data!V74="Unknown","",cleaned_data!V74="Yes",1,TRUE,0)</f>
        <v/>
      </c>
      <c r="O74" cm="1">
        <f t="array" ref="O74">_xlfn.IFS(cleaned_data!S74&gt;=4,1,cleaned_data!S74=3,0.75,cleaned_data!S74=2,0.5,cleaned_data!S74=1,0.25,TRUE,0)</f>
        <v>0.25</v>
      </c>
      <c r="P74" cm="1">
        <f t="array" ref="P74">_xlfn.IFS(cleaned_data!AB74&gt;=50,1,cleaned_data!AB74&gt;=35,0.75,cleaned_data!AB74&gt;=20,0.5,TRUE,0.25)</f>
        <v>0.5</v>
      </c>
      <c r="Q74" cm="1">
        <f t="array" ref="Q74">_xlfn.IFS(cleaned_data!X74&gt;=5,1,cleaned_data!X74&gt;=3,0.75,cleaned_data!X74=2,0.5,cleaned_data!X74=1,0.25,TRUE,0)</f>
        <v>0.5</v>
      </c>
      <c r="R74">
        <f>IF(cleaned_data!Y74="Yes",1,0)</f>
        <v>1</v>
      </c>
      <c r="S74">
        <f>IF(OR(cleaned_data!AF74="GlobalG.A.P.",cleaned_data!AF74="Fairtrade",cleaned_data!AF74="Organic (CERES)"),1,
IF(OR(cleaned_data!AF74="SIZA",cleaned_data!AF74="Woolworths TNC",cleaned_data!AF74="Checkers Good Farming"),0.75,
IF(cleaned_data!AF74="No Certificate",0,
IF(cleaned_data!AF74="Unknown","",""))))</f>
        <v>0</v>
      </c>
      <c r="T74">
        <f>IF(cleaned_data!AG74="Yes",1,0)</f>
        <v>0</v>
      </c>
      <c r="U74">
        <f>IF(OR(cleaned_data!AD74="No Loan",cleaned_data!AD74="Settled",cleaned_data!AD74="Current"),1,
IF(cleaned_data!AD74="In Arrears",0.5,
IF(cleaned_data!AD74="Defaulted",0,
IF(cleaned_data!AD74="Unknown","",""))))</f>
        <v>0</v>
      </c>
      <c r="V74" cm="1">
        <f t="array" ref="V74">_xlfn.IFS(cleaned_data!AE74&lt;=0.2,1,
cleaned_data!AE74&lt;=0.5,0.75,
cleaned_data!AE74&lt;=1,0.5,
cleaned_data!AE74&gt;1,0.25)</f>
        <v>1</v>
      </c>
      <c r="W74">
        <f>IF(cleaned_data!AJ74="Yes",1,0)</f>
        <v>1</v>
      </c>
      <c r="X74" s="2" cm="1">
        <f t="array" ref="X74">_xlfn.IFS(cleaned_data!AM74="Yes", 1,
cleaned_data!AM74="No", 0,
cleaned_data!AM74="Unknown", "")</f>
        <v>0</v>
      </c>
      <c r="Y74" cm="1">
        <f t="array" ref="Y74">_xlfn.IFS(cleaned_data!AK74="Solar", 1,
cleaned_data!AK74="Generator", 0.75,
cleaned_data!AK74="Eskom grid", 0.5,
TRUE, "")</f>
        <v>0.75</v>
      </c>
      <c r="Z74" cm="1">
        <f t="array" ref="Z74">_xlfn.IFS(cleaned_data!AL74="", "",
cleaned_data!AL74&lt;=8, 1,
cleaned_data!AL74&lt;=14, 0.75,
cleaned_data!AL74&lt;=21, 0.5,
cleaned_data!AL74&gt;=22, 0.25)</f>
        <v>1</v>
      </c>
      <c r="AA74" cm="1">
        <f t="array" ref="AA74">_xlfn.IFS(cleaned_data!AH74=0, 1,
cleaned_data!AH74=1, 0.75,
cleaned_data!AH74=2, 0.5,
cleaned_data!AH74&gt;=3, 0.25)</f>
        <v>1</v>
      </c>
      <c r="AB74" cm="1">
        <f t="array" ref="AB74">_xlfn.IFS(cleaned_data!AO74="", "",
cleaned_data!AO74&gt;=50, 1,
cleaned_data!AO74&gt;=30, 0.75,
cleaned_data!AO74&gt;=10, 0.5,
cleaned_data!AO74&lt;10, 0.25)</f>
        <v>0.5</v>
      </c>
      <c r="AC74" cm="1">
        <f t="array" ref="AC74">_xlfn.IFS(cleaned_data!AP74&gt;=50,1, cleaned_data!AP74&gt;=30,0.75, cleaned_data!AP74&gt;=10,0.5, cleaned_data!AP74&lt;10,0.25)</f>
        <v>1</v>
      </c>
      <c r="AD74" cm="1">
        <f t="array" ref="AD74">_xlfn.IFS(cleaned_data!AQ74&gt;=30,1,
cleaned_data!AQ74&gt;=20,0.75,
cleaned_data!AQ74&gt;=10,0.5,
cleaned_data!AQ74&lt;10,0.25)</f>
        <v>0.25</v>
      </c>
      <c r="AE74" cm="1">
        <f t="array" ref="AE74">_xlfn.IFS(cleaned_data!AR74&gt;=75,1,
cleaned_data!AR74&gt;=50,0.75,
cleaned_data!AR74&gt;=25,0.5,
cleaned_data!AR74&lt;25,0.25)</f>
        <v>1</v>
      </c>
      <c r="AF74">
        <f>IF(cleaned_data!AS74="Yes",1,0)</f>
        <v>1</v>
      </c>
    </row>
    <row r="75" spans="1:32" hidden="1" x14ac:dyDescent="0.35">
      <c r="A75" t="s">
        <v>232</v>
      </c>
      <c r="B75" t="s">
        <v>174</v>
      </c>
      <c r="C75">
        <f>IF(cleaned_data!K75="Registered",1,0)</f>
        <v>1</v>
      </c>
      <c r="D75">
        <f>IF(cleaned_data!L75="Yes",1,0)</f>
        <v>1</v>
      </c>
      <c r="E75">
        <f>IF(cleaned_data!M75="Yes",1,0)</f>
        <v>1</v>
      </c>
      <c r="F75">
        <f>IF(cleaned_data!O75="Unknown","",IF(cleaned_data!O75="Yes",1,0))</f>
        <v>0</v>
      </c>
      <c r="G75" cm="1">
        <f t="array" ref="G75">_xlfn.IFS(cleaned_data!N75="Owned",1,cleaned_data!N75="Leased",0.75,cleaned_data!N75="State land",0.5,cleaned_data!N75="Communal",0.25)</f>
        <v>0.75</v>
      </c>
      <c r="H75" s="2" cm="1">
        <f t="array" ref="H75">_xlfn.IFS(cleaned_data!G75&gt;=10,1,cleaned_data!G75&gt;=5,0.75,cleaned_data!G75&gt;=2,0.5,TRUE,0.25)</f>
        <v>1</v>
      </c>
      <c r="I75">
        <f>IF(cleaned_data!P75="None",0,1)</f>
        <v>0</v>
      </c>
      <c r="J75" s="2" cm="1">
        <f t="array" ref="J75">_xlfn.IFS(cleaned_data!H75&gt;=20,1,cleaned_data!H75&gt;=10,0.75,cleaned_data!H75&gt;=5,0.5,cleaned_data!H75&gt;=1,0.25,TRUE,0)</f>
        <v>1</v>
      </c>
      <c r="K75" cm="1">
        <f t="array" ref="K75">_xlfn.IFS(cleaned_data!Q75&gt;=100000,1,cleaned_data!Q75&gt;=50000,0.75,cleaned_data!Q75&gt;=10000,0.5,TRUE,0.25)</f>
        <v>0.75</v>
      </c>
      <c r="L75" cm="1">
        <f t="array" ref="L75">_xlfn.IFS(cleaned_data!T75="","",cleaned_data!T75&lt;=10,1,cleaned_data!T75&lt;=25,0.75,cleaned_data!T75&lt;=40,0.5, cleaned_data!T75&gt;40,0.25)</f>
        <v>0.75</v>
      </c>
      <c r="M75">
        <f>IF(cleaned_data!U75="Yes",1,0)</f>
        <v>0</v>
      </c>
      <c r="N75" cm="1">
        <f t="array" ref="N75">_xlfn.IFS(cleaned_data!V75="Unknown","",cleaned_data!V75="Yes",1,TRUE,0)</f>
        <v>1</v>
      </c>
      <c r="O75" cm="1">
        <f t="array" ref="O75">_xlfn.IFS(cleaned_data!S75&gt;=4,1,cleaned_data!S75=3,0.75,cleaned_data!S75=2,0.5,cleaned_data!S75=1,0.25,TRUE,0)</f>
        <v>1</v>
      </c>
      <c r="P75" cm="1">
        <f t="array" ref="P75">_xlfn.IFS(cleaned_data!AB75&gt;=50,1,cleaned_data!AB75&gt;=35,0.75,cleaned_data!AB75&gt;=20,0.5,TRUE,0.25)</f>
        <v>1</v>
      </c>
      <c r="Q75" cm="1">
        <f t="array" ref="Q75">_xlfn.IFS(cleaned_data!X75&gt;=5,1,cleaned_data!X75&gt;=3,0.75,cleaned_data!X75=2,0.5,cleaned_data!X75=1,0.25,TRUE,0)</f>
        <v>0.5</v>
      </c>
      <c r="R75">
        <f>IF(cleaned_data!Y75="Yes",1,0)</f>
        <v>1</v>
      </c>
      <c r="S75">
        <f>IF(OR(cleaned_data!AF75="GlobalG.A.P.",cleaned_data!AF75="Fairtrade",cleaned_data!AF75="Organic (CERES)"),1,
IF(OR(cleaned_data!AF75="SIZA",cleaned_data!AF75="Woolworths TNC",cleaned_data!AF75="Checkers Good Farming"),0.75,
IF(cleaned_data!AF75="No Certificate",0,
IF(cleaned_data!AF75="Unknown","",""))))</f>
        <v>1</v>
      </c>
      <c r="T75">
        <f>IF(cleaned_data!AG75="Yes",1,0)</f>
        <v>0</v>
      </c>
      <c r="U75">
        <f>IF(OR(cleaned_data!AD75="No Loan",cleaned_data!AD75="Settled",cleaned_data!AD75="Current"),1,
IF(cleaned_data!AD75="In Arrears",0.5,
IF(cleaned_data!AD75="Defaulted",0,
IF(cleaned_data!AD75="Unknown","",""))))</f>
        <v>1</v>
      </c>
      <c r="V75" cm="1">
        <f t="array" ref="V75">_xlfn.IFS(cleaned_data!AE75&lt;=0.2,1,
cleaned_data!AE75&lt;=0.5,0.75,
cleaned_data!AE75&lt;=1,0.5,
cleaned_data!AE75&gt;1,0.25)</f>
        <v>1</v>
      </c>
      <c r="W75">
        <f>IF(cleaned_data!AJ75="Yes",1,0)</f>
        <v>0</v>
      </c>
      <c r="X75" s="2" cm="1">
        <f t="array" ref="X75">_xlfn.IFS(cleaned_data!AM75="Yes", 1,
cleaned_data!AM75="No", 0,
cleaned_data!AM75="Unknown", "")</f>
        <v>0</v>
      </c>
      <c r="Y75" cm="1">
        <f t="array" ref="Y75">_xlfn.IFS(cleaned_data!AK75="Solar", 1,
cleaned_data!AK75="Generator", 0.75,
cleaned_data!AK75="Eskom grid", 0.5,
TRUE, "")</f>
        <v>1</v>
      </c>
      <c r="Z75" cm="1">
        <f t="array" ref="Z75">_xlfn.IFS(cleaned_data!AL75="", "",
cleaned_data!AL75&lt;=8, 1,
cleaned_data!AL75&lt;=14, 0.75,
cleaned_data!AL75&lt;=21, 0.5,
cleaned_data!AL75&gt;=22, 0.25)</f>
        <v>1</v>
      </c>
      <c r="AA75" cm="1">
        <f t="array" ref="AA75">_xlfn.IFS(cleaned_data!AH75=0, 1,
cleaned_data!AH75=1, 0.75,
cleaned_data!AH75=2, 0.5,
cleaned_data!AH75&gt;=3, 0.25)</f>
        <v>0.25</v>
      </c>
      <c r="AB75" cm="1">
        <f t="array" ref="AB75">_xlfn.IFS(cleaned_data!AO75="", "",
cleaned_data!AO75&gt;=50, 1,
cleaned_data!AO75&gt;=30, 0.75,
cleaned_data!AO75&gt;=10, 0.5,
cleaned_data!AO75&lt;10, 0.25)</f>
        <v>0.5</v>
      </c>
      <c r="AC75" cm="1">
        <f t="array" ref="AC75">_xlfn.IFS(cleaned_data!AP75&gt;=50,1, cleaned_data!AP75&gt;=30,0.75, cleaned_data!AP75&gt;=10,0.5, cleaned_data!AP75&lt;10,0.25)</f>
        <v>0.5</v>
      </c>
      <c r="AD75" cm="1">
        <f t="array" ref="AD75">_xlfn.IFS(cleaned_data!AQ75&gt;=30,1,
cleaned_data!AQ75&gt;=20,0.75,
cleaned_data!AQ75&gt;=10,0.5,
cleaned_data!AQ75&lt;10,0.25)</f>
        <v>0.75</v>
      </c>
      <c r="AE75" cm="1">
        <f t="array" ref="AE75">_xlfn.IFS(cleaned_data!AR75&gt;=75,1,
cleaned_data!AR75&gt;=50,0.75,
cleaned_data!AR75&gt;=25,0.5,
cleaned_data!AR75&lt;25,0.25)</f>
        <v>1</v>
      </c>
      <c r="AF75">
        <f>IF(cleaned_data!AS75="Yes",1,0)</f>
        <v>0</v>
      </c>
    </row>
    <row r="76" spans="1:32" x14ac:dyDescent="0.35">
      <c r="A76" t="s">
        <v>231</v>
      </c>
      <c r="B76" t="s">
        <v>230</v>
      </c>
      <c r="C76">
        <f>IF(cleaned_data!K76="Registered",1,0)</f>
        <v>1</v>
      </c>
      <c r="D76">
        <f>IF(cleaned_data!L76="Yes",1,0)</f>
        <v>0</v>
      </c>
      <c r="E76">
        <f>IF(cleaned_data!M76="Yes",1,0)</f>
        <v>1</v>
      </c>
      <c r="F76" t="str">
        <f>IF(cleaned_data!O76="Unknown","",IF(cleaned_data!O76="Yes",1,0))</f>
        <v/>
      </c>
      <c r="G76" cm="1">
        <f t="array" ref="G76">_xlfn.IFS(cleaned_data!N76="Owned",1,cleaned_data!N76="Leased",0.75,cleaned_data!N76="State land",0.5,cleaned_data!N76="Communal",0.25)</f>
        <v>1</v>
      </c>
      <c r="H76" s="2" cm="1">
        <f t="array" ref="H76">_xlfn.IFS(cleaned_data!G76&gt;=10,1,cleaned_data!G76&gt;=5,0.75,cleaned_data!G76&gt;=2,0.5,TRUE,0.25)</f>
        <v>1</v>
      </c>
      <c r="I76">
        <f>IF(cleaned_data!P76="None",0,1)</f>
        <v>1</v>
      </c>
      <c r="J76" s="2" cm="1">
        <f t="array" ref="J76">_xlfn.IFS(cleaned_data!H76&gt;=20,1,cleaned_data!H76&gt;=10,0.75,cleaned_data!H76&gt;=5,0.5,cleaned_data!H76&gt;=1,0.25,TRUE,0)</f>
        <v>1</v>
      </c>
      <c r="K76" cm="1">
        <f t="array" ref="K76">_xlfn.IFS(cleaned_data!Q76&gt;=100000,1,cleaned_data!Q76&gt;=50000,0.75,cleaned_data!Q76&gt;=10000,0.5,TRUE,0.25)</f>
        <v>1</v>
      </c>
      <c r="L76" cm="1">
        <f t="array" ref="L76">_xlfn.IFS(cleaned_data!T76="","",cleaned_data!T76&lt;=10,1,cleaned_data!T76&lt;=25,0.75,cleaned_data!T76&lt;=40,0.5, cleaned_data!T76&gt;40,0.25)</f>
        <v>0.5</v>
      </c>
      <c r="M76">
        <f>IF(cleaned_data!U76="Yes",1,0)</f>
        <v>1</v>
      </c>
      <c r="N76" cm="1">
        <f t="array" ref="N76">_xlfn.IFS(cleaned_data!V76="Unknown","",cleaned_data!V76="Yes",1,TRUE,0)</f>
        <v>1</v>
      </c>
      <c r="O76" cm="1">
        <f t="array" ref="O76">_xlfn.IFS(cleaned_data!S76&gt;=4,1,cleaned_data!S76=3,0.75,cleaned_data!S76=2,0.5,cleaned_data!S76=1,0.25,TRUE,0)</f>
        <v>1</v>
      </c>
      <c r="P76" cm="1">
        <f t="array" ref="P76">_xlfn.IFS(cleaned_data!AB76&gt;=50,1,cleaned_data!AB76&gt;=35,0.75,cleaned_data!AB76&gt;=20,0.5,TRUE,0.25)</f>
        <v>0.75</v>
      </c>
      <c r="Q76" cm="1">
        <f t="array" ref="Q76">_xlfn.IFS(cleaned_data!X76&gt;=5,1,cleaned_data!X76&gt;=3,0.75,cleaned_data!X76=2,0.5,cleaned_data!X76=1,0.25,TRUE,0)</f>
        <v>0.5</v>
      </c>
      <c r="R76">
        <f>IF(cleaned_data!Y76="Yes",1,0)</f>
        <v>0</v>
      </c>
      <c r="S76">
        <f>IF(OR(cleaned_data!AF76="GlobalG.A.P.",cleaned_data!AF76="Fairtrade",cleaned_data!AF76="Organic (CERES)"),1,
IF(OR(cleaned_data!AF76="SIZA",cleaned_data!AF76="Woolworths TNC",cleaned_data!AF76="Checkers Good Farming"),0.75,
IF(cleaned_data!AF76="No Certificate",0,
IF(cleaned_data!AF76="Unknown","",""))))</f>
        <v>0</v>
      </c>
      <c r="T76">
        <f>IF(cleaned_data!AG76="Yes",1,0)</f>
        <v>0</v>
      </c>
      <c r="U76">
        <f>IF(OR(cleaned_data!AD76="No Loan",cleaned_data!AD76="Settled",cleaned_data!AD76="Current"),1,
IF(cleaned_data!AD76="In Arrears",0.5,
IF(cleaned_data!AD76="Defaulted",0,
IF(cleaned_data!AD76="Unknown","",""))))</f>
        <v>1</v>
      </c>
      <c r="V76" cm="1">
        <f t="array" ref="V76">_xlfn.IFS(cleaned_data!AE76&lt;=0.2,1,
cleaned_data!AE76&lt;=0.5,0.75,
cleaned_data!AE76&lt;=1,0.5,
cleaned_data!AE76&gt;1,0.25)</f>
        <v>0.5</v>
      </c>
      <c r="W76">
        <f>IF(cleaned_data!AJ76="Yes",1,0)</f>
        <v>1</v>
      </c>
      <c r="X76" s="2" cm="1">
        <f t="array" ref="X76">_xlfn.IFS(cleaned_data!AM76="Yes", 1,
cleaned_data!AM76="No", 0,
cleaned_data!AM76="Unknown", "")</f>
        <v>0</v>
      </c>
      <c r="Y76" cm="1">
        <f t="array" ref="Y76">_xlfn.IFS(cleaned_data!AK76="Solar", 1,
cleaned_data!AK76="Generator", 0.75,
cleaned_data!AK76="Eskom grid", 0.5,
TRUE, "")</f>
        <v>0.5</v>
      </c>
      <c r="Z76" cm="1">
        <f t="array" ref="Z76">_xlfn.IFS(cleaned_data!AL76="", "",
cleaned_data!AL76&lt;=8, 1,
cleaned_data!AL76&lt;=14, 0.75,
cleaned_data!AL76&lt;=21, 0.5,
cleaned_data!AL76&gt;=22, 0.25)</f>
        <v>0.75</v>
      </c>
      <c r="AA76" cm="1">
        <f t="array" ref="AA76">_xlfn.IFS(cleaned_data!AH76=0, 1,
cleaned_data!AH76=1, 0.75,
cleaned_data!AH76=2, 0.5,
cleaned_data!AH76&gt;=3, 0.25)</f>
        <v>0.5</v>
      </c>
      <c r="AB76" cm="1">
        <f t="array" ref="AB76">_xlfn.IFS(cleaned_data!AO76="", "",
cleaned_data!AO76&gt;=50, 1,
cleaned_data!AO76&gt;=30, 0.75,
cleaned_data!AO76&gt;=10, 0.5,
cleaned_data!AO76&lt;10, 0.25)</f>
        <v>1</v>
      </c>
      <c r="AC76" cm="1">
        <f t="array" ref="AC76">_xlfn.IFS(cleaned_data!AP76&gt;=50,1, cleaned_data!AP76&gt;=30,0.75, cleaned_data!AP76&gt;=10,0.5, cleaned_data!AP76&lt;10,0.25)</f>
        <v>1</v>
      </c>
      <c r="AD76" cm="1">
        <f t="array" ref="AD76">_xlfn.IFS(cleaned_data!AQ76&gt;=30,1,
cleaned_data!AQ76&gt;=20,0.75,
cleaned_data!AQ76&gt;=10,0.5,
cleaned_data!AQ76&lt;10,0.25)</f>
        <v>1</v>
      </c>
      <c r="AE76" cm="1">
        <f t="array" ref="AE76">_xlfn.IFS(cleaned_data!AR76&gt;=75,1,
cleaned_data!AR76&gt;=50,0.75,
cleaned_data!AR76&gt;=25,0.5,
cleaned_data!AR76&lt;25,0.25)</f>
        <v>0.75</v>
      </c>
      <c r="AF76">
        <f>IF(cleaned_data!AS76="Yes",1,0)</f>
        <v>0</v>
      </c>
    </row>
    <row r="77" spans="1:32" x14ac:dyDescent="0.35">
      <c r="A77" t="s">
        <v>229</v>
      </c>
      <c r="B77" t="s">
        <v>228</v>
      </c>
      <c r="C77">
        <f>IF(cleaned_data!K77="Registered",1,0)</f>
        <v>0</v>
      </c>
      <c r="D77">
        <f>IF(cleaned_data!L77="Yes",1,0)</f>
        <v>0</v>
      </c>
      <c r="E77">
        <f>IF(cleaned_data!M77="Yes",1,0)</f>
        <v>1</v>
      </c>
      <c r="F77">
        <f>IF(cleaned_data!O77="Unknown","",IF(cleaned_data!O77="Yes",1,0))</f>
        <v>0</v>
      </c>
      <c r="G77" cm="1">
        <f t="array" ref="G77">_xlfn.IFS(cleaned_data!N77="Owned",1,cleaned_data!N77="Leased",0.75,cleaned_data!N77="State land",0.5,cleaned_data!N77="Communal",0.25)</f>
        <v>0.5</v>
      </c>
      <c r="H77" s="2" cm="1">
        <f t="array" ref="H77">_xlfn.IFS(cleaned_data!G77&gt;=10,1,cleaned_data!G77&gt;=5,0.75,cleaned_data!G77&gt;=2,0.5,TRUE,0.25)</f>
        <v>1</v>
      </c>
      <c r="I77">
        <f>IF(cleaned_data!P77="None",0,1)</f>
        <v>0</v>
      </c>
      <c r="J77" s="2" cm="1">
        <f t="array" ref="J77">_xlfn.IFS(cleaned_data!H77&gt;=20,1,cleaned_data!H77&gt;=10,0.75,cleaned_data!H77&gt;=5,0.5,cleaned_data!H77&gt;=1,0.25,TRUE,0)</f>
        <v>1</v>
      </c>
      <c r="K77" cm="1">
        <f t="array" ref="K77">_xlfn.IFS(cleaned_data!Q77&gt;=100000,1,cleaned_data!Q77&gt;=50000,0.75,cleaned_data!Q77&gt;=10000,0.5,TRUE,0.25)</f>
        <v>1</v>
      </c>
      <c r="L77" cm="1">
        <f t="array" ref="L77">_xlfn.IFS(cleaned_data!T77="","",cleaned_data!T77&lt;=10,1,cleaned_data!T77&lt;=25,0.75,cleaned_data!T77&lt;=40,0.5, cleaned_data!T77&gt;40,0.25)</f>
        <v>0.75</v>
      </c>
      <c r="M77">
        <f>IF(cleaned_data!U77="Yes",1,0)</f>
        <v>1</v>
      </c>
      <c r="N77" cm="1">
        <f t="array" ref="N77">_xlfn.IFS(cleaned_data!V77="Unknown","",cleaned_data!V77="Yes",1,TRUE,0)</f>
        <v>1</v>
      </c>
      <c r="O77" cm="1">
        <f t="array" ref="O77">_xlfn.IFS(cleaned_data!S77&gt;=4,1,cleaned_data!S77=3,0.75,cleaned_data!S77=2,0.5,cleaned_data!S77=1,0.25,TRUE,0)</f>
        <v>0.75</v>
      </c>
      <c r="P77" cm="1">
        <f t="array" ref="P77">_xlfn.IFS(cleaned_data!AB77&gt;=50,1,cleaned_data!AB77&gt;=35,0.75,cleaned_data!AB77&gt;=20,0.5,TRUE,0.25)</f>
        <v>0.75</v>
      </c>
      <c r="Q77" cm="1">
        <f t="array" ref="Q77">_xlfn.IFS(cleaned_data!X77&gt;=5,1,cleaned_data!X77&gt;=3,0.75,cleaned_data!X77=2,0.5,cleaned_data!X77=1,0.25,TRUE,0)</f>
        <v>1</v>
      </c>
      <c r="R77">
        <f>IF(cleaned_data!Y77="Yes",1,0)</f>
        <v>0</v>
      </c>
      <c r="S77">
        <f>IF(OR(cleaned_data!AF77="GlobalG.A.P.",cleaned_data!AF77="Fairtrade",cleaned_data!AF77="Organic (CERES)"),1,
IF(OR(cleaned_data!AF77="SIZA",cleaned_data!AF77="Woolworths TNC",cleaned_data!AF77="Checkers Good Farming"),0.75,
IF(cleaned_data!AF77="No Certificate",0,
IF(cleaned_data!AF77="Unknown","",""))))</f>
        <v>0</v>
      </c>
      <c r="T77">
        <f>IF(cleaned_data!AG77="Yes",1,0)</f>
        <v>0</v>
      </c>
      <c r="U77">
        <f>IF(OR(cleaned_data!AD77="No Loan",cleaned_data!AD77="Settled",cleaned_data!AD77="Current"),1,
IF(cleaned_data!AD77="In Arrears",0.5,
IF(cleaned_data!AD77="Defaulted",0,
IF(cleaned_data!AD77="Unknown","",""))))</f>
        <v>1</v>
      </c>
      <c r="V77" cm="1">
        <f t="array" ref="V77">_xlfn.IFS(cleaned_data!AE77&lt;=0.2,1,
cleaned_data!AE77&lt;=0.5,0.75,
cleaned_data!AE77&lt;=1,0.5,
cleaned_data!AE77&gt;1,0.25)</f>
        <v>1</v>
      </c>
      <c r="W77">
        <f>IF(cleaned_data!AJ77="Yes",1,0)</f>
        <v>1</v>
      </c>
      <c r="X77" s="2" cm="1">
        <f t="array" ref="X77">_xlfn.IFS(cleaned_data!AM77="Yes", 1,
cleaned_data!AM77="No", 0,
cleaned_data!AM77="Unknown", "")</f>
        <v>0</v>
      </c>
      <c r="Y77" cm="1">
        <f t="array" ref="Y77">_xlfn.IFS(cleaned_data!AK77="Solar", 1,
cleaned_data!AK77="Generator", 0.75,
cleaned_data!AK77="Eskom grid", 0.5,
TRUE, "")</f>
        <v>0.5</v>
      </c>
      <c r="Z77" cm="1">
        <f t="array" ref="Z77">_xlfn.IFS(cleaned_data!AL77="", "",
cleaned_data!AL77&lt;=8, 1,
cleaned_data!AL77&lt;=14, 0.75,
cleaned_data!AL77&lt;=21, 0.5,
cleaned_data!AL77&gt;=22, 0.25)</f>
        <v>0.5</v>
      </c>
      <c r="AA77" cm="1">
        <f t="array" ref="AA77">_xlfn.IFS(cleaned_data!AH77=0, 1,
cleaned_data!AH77=1, 0.75,
cleaned_data!AH77=2, 0.5,
cleaned_data!AH77&gt;=3, 0.25)</f>
        <v>0.25</v>
      </c>
      <c r="AB77" cm="1">
        <f t="array" ref="AB77">_xlfn.IFS(cleaned_data!AO77="", "",
cleaned_data!AO77&gt;=50, 1,
cleaned_data!AO77&gt;=30, 0.75,
cleaned_data!AO77&gt;=10, 0.5,
cleaned_data!AO77&lt;10, 0.25)</f>
        <v>1</v>
      </c>
      <c r="AC77" cm="1">
        <f t="array" ref="AC77">_xlfn.IFS(cleaned_data!AP77&gt;=50,1, cleaned_data!AP77&gt;=30,0.75, cleaned_data!AP77&gt;=10,0.5, cleaned_data!AP77&lt;10,0.25)</f>
        <v>0.5</v>
      </c>
      <c r="AD77" cm="1">
        <f t="array" ref="AD77">_xlfn.IFS(cleaned_data!AQ77&gt;=30,1,
cleaned_data!AQ77&gt;=20,0.75,
cleaned_data!AQ77&gt;=10,0.5,
cleaned_data!AQ77&lt;10,0.25)</f>
        <v>0.75</v>
      </c>
      <c r="AE77" cm="1">
        <f t="array" ref="AE77">_xlfn.IFS(cleaned_data!AR77&gt;=75,1,
cleaned_data!AR77&gt;=50,0.75,
cleaned_data!AR77&gt;=25,0.5,
cleaned_data!AR77&lt;25,0.25)</f>
        <v>0.75</v>
      </c>
      <c r="AF77">
        <f>IF(cleaned_data!AS77="Yes",1,0)</f>
        <v>1</v>
      </c>
    </row>
    <row r="78" spans="1:32" hidden="1" x14ac:dyDescent="0.35">
      <c r="A78" t="s">
        <v>227</v>
      </c>
      <c r="B78" t="s">
        <v>211</v>
      </c>
      <c r="C78">
        <f>IF(cleaned_data!K78="Registered",1,0)</f>
        <v>1</v>
      </c>
      <c r="D78">
        <f>IF(cleaned_data!L78="Yes",1,0)</f>
        <v>1</v>
      </c>
      <c r="E78">
        <f>IF(cleaned_data!M78="Yes",1,0)</f>
        <v>1</v>
      </c>
      <c r="F78" t="str">
        <f>IF(cleaned_data!O78="Unknown","",IF(cleaned_data!O78="Yes",1,0))</f>
        <v/>
      </c>
      <c r="G78" cm="1">
        <f t="array" ref="G78">_xlfn.IFS(cleaned_data!N78="Owned",1,cleaned_data!N78="Leased",0.75,cleaned_data!N78="State land",0.5,cleaned_data!N78="Communal",0.25)</f>
        <v>1</v>
      </c>
      <c r="H78" s="2" cm="1">
        <f t="array" ref="H78">_xlfn.IFS(cleaned_data!G78&gt;=10,1,cleaned_data!G78&gt;=5,0.75,cleaned_data!G78&gt;=2,0.5,TRUE,0.25)</f>
        <v>1</v>
      </c>
      <c r="I78">
        <f>IF(cleaned_data!P78="None",0,1)</f>
        <v>1</v>
      </c>
      <c r="J78" s="2" cm="1">
        <f t="array" ref="J78">_xlfn.IFS(cleaned_data!H78&gt;=20,1,cleaned_data!H78&gt;=10,0.75,cleaned_data!H78&gt;=5,0.5,cleaned_data!H78&gt;=1,0.25,TRUE,0)</f>
        <v>0.5</v>
      </c>
      <c r="K78" cm="1">
        <f t="array" ref="K78">_xlfn.IFS(cleaned_data!Q78&gt;=100000,1,cleaned_data!Q78&gt;=50000,0.75,cleaned_data!Q78&gt;=10000,0.5,TRUE,0.25)</f>
        <v>1</v>
      </c>
      <c r="L78" cm="1">
        <f t="array" ref="L78">_xlfn.IFS(cleaned_data!T78="","",cleaned_data!T78&lt;=10,1,cleaned_data!T78&lt;=25,0.75,cleaned_data!T78&lt;=40,0.5, cleaned_data!T78&gt;40,0.25)</f>
        <v>0.5</v>
      </c>
      <c r="M78">
        <f>IF(cleaned_data!U78="Yes",1,0)</f>
        <v>1</v>
      </c>
      <c r="N78" cm="1">
        <f t="array" ref="N78">_xlfn.IFS(cleaned_data!V78="Unknown","",cleaned_data!V78="Yes",1,TRUE,0)</f>
        <v>1</v>
      </c>
      <c r="O78" cm="1">
        <f t="array" ref="O78">_xlfn.IFS(cleaned_data!S78&gt;=4,1,cleaned_data!S78=3,0.75,cleaned_data!S78=2,0.5,cleaned_data!S78=1,0.25,TRUE,0)</f>
        <v>0.5</v>
      </c>
      <c r="P78" cm="1">
        <f t="array" ref="P78">_xlfn.IFS(cleaned_data!AB78&gt;=50,1,cleaned_data!AB78&gt;=35,0.75,cleaned_data!AB78&gt;=20,0.5,TRUE,0.25)</f>
        <v>0.75</v>
      </c>
      <c r="Q78" cm="1">
        <f t="array" ref="Q78">_xlfn.IFS(cleaned_data!X78&gt;=5,1,cleaned_data!X78&gt;=3,0.75,cleaned_data!X78=2,0.5,cleaned_data!X78=1,0.25,TRUE,0)</f>
        <v>0.25</v>
      </c>
      <c r="R78">
        <f>IF(cleaned_data!Y78="Yes",1,0)</f>
        <v>0</v>
      </c>
      <c r="S78">
        <f>IF(OR(cleaned_data!AF78="GlobalG.A.P.",cleaned_data!AF78="Fairtrade",cleaned_data!AF78="Organic (CERES)"),1,
IF(OR(cleaned_data!AF78="SIZA",cleaned_data!AF78="Woolworths TNC",cleaned_data!AF78="Checkers Good Farming"),0.75,
IF(cleaned_data!AF78="No Certificate",0,
IF(cleaned_data!AF78="Unknown","",""))))</f>
        <v>1</v>
      </c>
      <c r="T78">
        <f>IF(cleaned_data!AG78="Yes",1,0)</f>
        <v>0</v>
      </c>
      <c r="U78">
        <f>IF(OR(cleaned_data!AD78="No Loan",cleaned_data!AD78="Settled",cleaned_data!AD78="Current"),1,
IF(cleaned_data!AD78="In Arrears",0.5,
IF(cleaned_data!AD78="Defaulted",0,
IF(cleaned_data!AD78="Unknown","",""))))</f>
        <v>0.5</v>
      </c>
      <c r="V78" cm="1">
        <f t="array" ref="V78">_xlfn.IFS(cleaned_data!AE78&lt;=0.2,1,
cleaned_data!AE78&lt;=0.5,0.75,
cleaned_data!AE78&lt;=1,0.5,
cleaned_data!AE78&gt;1,0.25)</f>
        <v>1</v>
      </c>
      <c r="W78">
        <f>IF(cleaned_data!AJ78="Yes",1,0)</f>
        <v>1</v>
      </c>
      <c r="X78" s="2" cm="1">
        <f t="array" ref="X78">_xlfn.IFS(cleaned_data!AM78="Yes", 1,
cleaned_data!AM78="No", 0,
cleaned_data!AM78="Unknown", "")</f>
        <v>1</v>
      </c>
      <c r="Y78" cm="1">
        <f t="array" ref="Y78">_xlfn.IFS(cleaned_data!AK78="Solar", 1,
cleaned_data!AK78="Generator", 0.75,
cleaned_data!AK78="Eskom grid", 0.5,
TRUE, "")</f>
        <v>0.5</v>
      </c>
      <c r="Z78" cm="1">
        <f t="array" ref="Z78">_xlfn.IFS(cleaned_data!AL78="", "",
cleaned_data!AL78&lt;=8, 1,
cleaned_data!AL78&lt;=14, 0.75,
cleaned_data!AL78&lt;=21, 0.5,
cleaned_data!AL78&gt;=22, 0.25)</f>
        <v>0.75</v>
      </c>
      <c r="AA78" cm="1">
        <f t="array" ref="AA78">_xlfn.IFS(cleaned_data!AH78=0, 1,
cleaned_data!AH78=1, 0.75,
cleaned_data!AH78=2, 0.5,
cleaned_data!AH78&gt;=3, 0.25)</f>
        <v>1</v>
      </c>
      <c r="AB78" cm="1">
        <f t="array" ref="AB78">_xlfn.IFS(cleaned_data!AO78="", "",
cleaned_data!AO78&gt;=50, 1,
cleaned_data!AO78&gt;=30, 0.75,
cleaned_data!AO78&gt;=10, 0.5,
cleaned_data!AO78&lt;10, 0.25)</f>
        <v>0.5</v>
      </c>
      <c r="AC78" cm="1">
        <f t="array" ref="AC78">_xlfn.IFS(cleaned_data!AP78&gt;=50,1, cleaned_data!AP78&gt;=30,0.75, cleaned_data!AP78&gt;=10,0.5, cleaned_data!AP78&lt;10,0.25)</f>
        <v>0.75</v>
      </c>
      <c r="AD78" cm="1">
        <f t="array" ref="AD78">_xlfn.IFS(cleaned_data!AQ78&gt;=30,1,
cleaned_data!AQ78&gt;=20,0.75,
cleaned_data!AQ78&gt;=10,0.5,
cleaned_data!AQ78&lt;10,0.25)</f>
        <v>1</v>
      </c>
      <c r="AE78" cm="1">
        <f t="array" ref="AE78">_xlfn.IFS(cleaned_data!AR78&gt;=75,1,
cleaned_data!AR78&gt;=50,0.75,
cleaned_data!AR78&gt;=25,0.5,
cleaned_data!AR78&lt;25,0.25)</f>
        <v>0.75</v>
      </c>
      <c r="AF78">
        <f>IF(cleaned_data!AS78="Yes",1,0)</f>
        <v>0</v>
      </c>
    </row>
    <row r="79" spans="1:32" x14ac:dyDescent="0.35">
      <c r="A79" t="s">
        <v>226</v>
      </c>
      <c r="B79" t="s">
        <v>225</v>
      </c>
      <c r="C79">
        <f>IF(cleaned_data!K79="Registered",1,0)</f>
        <v>0</v>
      </c>
      <c r="D79">
        <f>IF(cleaned_data!L79="Yes",1,0)</f>
        <v>1</v>
      </c>
      <c r="E79">
        <f>IF(cleaned_data!M79="Yes",1,0)</f>
        <v>0</v>
      </c>
      <c r="F79" t="str">
        <f>IF(cleaned_data!O79="Unknown","",IF(cleaned_data!O79="Yes",1,0))</f>
        <v/>
      </c>
      <c r="G79" cm="1">
        <f t="array" ref="G79">_xlfn.IFS(cleaned_data!N79="Owned",1,cleaned_data!N79="Leased",0.75,cleaned_data!N79="State land",0.5,cleaned_data!N79="Communal",0.25)</f>
        <v>1</v>
      </c>
      <c r="H79" s="2" cm="1">
        <f t="array" ref="H79">_xlfn.IFS(cleaned_data!G79&gt;=10,1,cleaned_data!G79&gt;=5,0.75,cleaned_data!G79&gt;=2,0.5,TRUE,0.25)</f>
        <v>1</v>
      </c>
      <c r="I79">
        <f>IF(cleaned_data!P79="None",0,1)</f>
        <v>0</v>
      </c>
      <c r="J79" s="2" cm="1">
        <f t="array" ref="J79">_xlfn.IFS(cleaned_data!H79&gt;=20,1,cleaned_data!H79&gt;=10,0.75,cleaned_data!H79&gt;=5,0.5,cleaned_data!H79&gt;=1,0.25,TRUE,0)</f>
        <v>0.75</v>
      </c>
      <c r="K79" cm="1">
        <f t="array" ref="K79">_xlfn.IFS(cleaned_data!Q79&gt;=100000,1,cleaned_data!Q79&gt;=50000,0.75,cleaned_data!Q79&gt;=10000,0.5,TRUE,0.25)</f>
        <v>0.75</v>
      </c>
      <c r="L79" cm="1">
        <f t="array" ref="L79">_xlfn.IFS(cleaned_data!T79="","",cleaned_data!T79&lt;=10,1,cleaned_data!T79&lt;=25,0.75,cleaned_data!T79&lt;=40,0.5, cleaned_data!T79&gt;40,0.25)</f>
        <v>0.75</v>
      </c>
      <c r="M79">
        <f>IF(cleaned_data!U79="Yes",1,0)</f>
        <v>1</v>
      </c>
      <c r="N79" cm="1">
        <f t="array" ref="N79">_xlfn.IFS(cleaned_data!V79="Unknown","",cleaned_data!V79="Yes",1,TRUE,0)</f>
        <v>1</v>
      </c>
      <c r="O79" cm="1">
        <f t="array" ref="O79">_xlfn.IFS(cleaned_data!S79&gt;=4,1,cleaned_data!S79=3,0.75,cleaned_data!S79=2,0.5,cleaned_data!S79=1,0.25,TRUE,0)</f>
        <v>1</v>
      </c>
      <c r="P79" cm="1">
        <f t="array" ref="P79">_xlfn.IFS(cleaned_data!AB79&gt;=50,1,cleaned_data!AB79&gt;=35,0.75,cleaned_data!AB79&gt;=20,0.5,TRUE,0.25)</f>
        <v>1</v>
      </c>
      <c r="Q79" cm="1">
        <f t="array" ref="Q79">_xlfn.IFS(cleaned_data!X79&gt;=5,1,cleaned_data!X79&gt;=3,0.75,cleaned_data!X79=2,0.5,cleaned_data!X79=1,0.25,TRUE,0)</f>
        <v>0.75</v>
      </c>
      <c r="R79">
        <f>IF(cleaned_data!Y79="Yes",1,0)</f>
        <v>0</v>
      </c>
      <c r="S79">
        <f>IF(OR(cleaned_data!AF79="GlobalG.A.P.",cleaned_data!AF79="Fairtrade",cleaned_data!AF79="Organic (CERES)"),1,
IF(OR(cleaned_data!AF79="SIZA",cleaned_data!AF79="Woolworths TNC",cleaned_data!AF79="Checkers Good Farming"),0.75,
IF(cleaned_data!AF79="No Certificate",0,
IF(cleaned_data!AF79="Unknown","",""))))</f>
        <v>1</v>
      </c>
      <c r="T79">
        <f>IF(cleaned_data!AG79="Yes",1,0)</f>
        <v>0</v>
      </c>
      <c r="U79">
        <f>IF(OR(cleaned_data!AD79="No Loan",cleaned_data!AD79="Settled",cleaned_data!AD79="Current"),1,
IF(cleaned_data!AD79="In Arrears",0.5,
IF(cleaned_data!AD79="Defaulted",0,
IF(cleaned_data!AD79="Unknown","",""))))</f>
        <v>1</v>
      </c>
      <c r="V79" cm="1">
        <f t="array" ref="V79">_xlfn.IFS(cleaned_data!AE79&lt;=0.2,1,
cleaned_data!AE79&lt;=0.5,0.75,
cleaned_data!AE79&lt;=1,0.5,
cleaned_data!AE79&gt;1,0.25)</f>
        <v>1</v>
      </c>
      <c r="W79">
        <f>IF(cleaned_data!AJ79="Yes",1,0)</f>
        <v>1</v>
      </c>
      <c r="X79" s="2" t="str" cm="1">
        <f t="array" ref="X79">_xlfn.IFS(cleaned_data!AM79="Yes", 1,
cleaned_data!AM79="No", 0,
cleaned_data!AM79="Unknown", "")</f>
        <v/>
      </c>
      <c r="Y79" cm="1">
        <f t="array" ref="Y79">_xlfn.IFS(cleaned_data!AK79="Solar", 1,
cleaned_data!AK79="Generator", 0.75,
cleaned_data!AK79="Eskom grid", 0.5,
TRUE, "")</f>
        <v>0.5</v>
      </c>
      <c r="Z79" cm="1">
        <f t="array" ref="Z79">_xlfn.IFS(cleaned_data!AL79="", "",
cleaned_data!AL79&lt;=8, 1,
cleaned_data!AL79&lt;=14, 0.75,
cleaned_data!AL79&lt;=21, 0.5,
cleaned_data!AL79&gt;=22, 0.25)</f>
        <v>0.75</v>
      </c>
      <c r="AA79" cm="1">
        <f t="array" ref="AA79">_xlfn.IFS(cleaned_data!AH79=0, 1,
cleaned_data!AH79=1, 0.75,
cleaned_data!AH79=2, 0.5,
cleaned_data!AH79&gt;=3, 0.25)</f>
        <v>1</v>
      </c>
      <c r="AB79" cm="1">
        <f t="array" ref="AB79">_xlfn.IFS(cleaned_data!AO79="", "",
cleaned_data!AO79&gt;=50, 1,
cleaned_data!AO79&gt;=30, 0.75,
cleaned_data!AO79&gt;=10, 0.5,
cleaned_data!AO79&lt;10, 0.25)</f>
        <v>1</v>
      </c>
      <c r="AC79" cm="1">
        <f t="array" ref="AC79">_xlfn.IFS(cleaned_data!AP79&gt;=50,1, cleaned_data!AP79&gt;=30,0.75, cleaned_data!AP79&gt;=10,0.5, cleaned_data!AP79&lt;10,0.25)</f>
        <v>0.75</v>
      </c>
      <c r="AD79" cm="1">
        <f t="array" ref="AD79">_xlfn.IFS(cleaned_data!AQ79&gt;=30,1,
cleaned_data!AQ79&gt;=20,0.75,
cleaned_data!AQ79&gt;=10,0.5,
cleaned_data!AQ79&lt;10,0.25)</f>
        <v>0.75</v>
      </c>
      <c r="AE79" cm="1">
        <f t="array" ref="AE79">_xlfn.IFS(cleaned_data!AR79&gt;=75,1,
cleaned_data!AR79&gt;=50,0.75,
cleaned_data!AR79&gt;=25,0.5,
cleaned_data!AR79&lt;25,0.25)</f>
        <v>0.75</v>
      </c>
      <c r="AF79">
        <f>IF(cleaned_data!AS79="Yes",1,0)</f>
        <v>0</v>
      </c>
    </row>
    <row r="80" spans="1:32" x14ac:dyDescent="0.35">
      <c r="A80" t="s">
        <v>224</v>
      </c>
      <c r="B80" t="s">
        <v>223</v>
      </c>
      <c r="C80">
        <f>IF(cleaned_data!K80="Registered",1,0)</f>
        <v>1</v>
      </c>
      <c r="D80">
        <f>IF(cleaned_data!L80="Yes",1,0)</f>
        <v>1</v>
      </c>
      <c r="E80">
        <f>IF(cleaned_data!M80="Yes",1,0)</f>
        <v>1</v>
      </c>
      <c r="F80">
        <f>IF(cleaned_data!O80="Unknown","",IF(cleaned_data!O80="Yes",1,0))</f>
        <v>1</v>
      </c>
      <c r="G80" cm="1">
        <f t="array" ref="G80">_xlfn.IFS(cleaned_data!N80="Owned",1,cleaned_data!N80="Leased",0.75,cleaned_data!N80="State land",0.5,cleaned_data!N80="Communal",0.25)</f>
        <v>1</v>
      </c>
      <c r="H80" s="2" cm="1">
        <f t="array" ref="H80">_xlfn.IFS(cleaned_data!G80&gt;=10,1,cleaned_data!G80&gt;=5,0.75,cleaned_data!G80&gt;=2,0.5,TRUE,0.25)</f>
        <v>1</v>
      </c>
      <c r="I80">
        <f>IF(cleaned_data!P80="None",0,1)</f>
        <v>1</v>
      </c>
      <c r="J80" s="2" cm="1">
        <f t="array" ref="J80">_xlfn.IFS(cleaned_data!H80&gt;=20,1,cleaned_data!H80&gt;=10,0.75,cleaned_data!H80&gt;=5,0.5,cleaned_data!H80&gt;=1,0.25,TRUE,0)</f>
        <v>0.5</v>
      </c>
      <c r="K80" cm="1">
        <f t="array" ref="K80">_xlfn.IFS(cleaned_data!Q80&gt;=100000,1,cleaned_data!Q80&gt;=50000,0.75,cleaned_data!Q80&gt;=10000,0.5,TRUE,0.25)</f>
        <v>1</v>
      </c>
      <c r="L80" cm="1">
        <f t="array" ref="L80">_xlfn.IFS(cleaned_data!T80="","",cleaned_data!T80&lt;=10,1,cleaned_data!T80&lt;=25,0.75,cleaned_data!T80&lt;=40,0.5, cleaned_data!T80&gt;40,0.25)</f>
        <v>0.5</v>
      </c>
      <c r="M80">
        <f>IF(cleaned_data!U80="Yes",1,0)</f>
        <v>0</v>
      </c>
      <c r="N80" t="str" cm="1">
        <f t="array" ref="N80">_xlfn.IFS(cleaned_data!V80="Unknown","",cleaned_data!V80="Yes",1,TRUE,0)</f>
        <v/>
      </c>
      <c r="O80" cm="1">
        <f t="array" ref="O80">_xlfn.IFS(cleaned_data!S80&gt;=4,1,cleaned_data!S80=3,0.75,cleaned_data!S80=2,0.5,cleaned_data!S80=1,0.25,TRUE,0)</f>
        <v>1</v>
      </c>
      <c r="P80" cm="1">
        <f t="array" ref="P80">_xlfn.IFS(cleaned_data!AB80&gt;=50,1,cleaned_data!AB80&gt;=35,0.75,cleaned_data!AB80&gt;=20,0.5,TRUE,0.25)</f>
        <v>0.75</v>
      </c>
      <c r="Q80" cm="1">
        <f t="array" ref="Q80">_xlfn.IFS(cleaned_data!X80&gt;=5,1,cleaned_data!X80&gt;=3,0.75,cleaned_data!X80=2,0.5,cleaned_data!X80=1,0.25,TRUE,0)</f>
        <v>1</v>
      </c>
      <c r="R80">
        <f>IF(cleaned_data!Y80="Yes",1,0)</f>
        <v>1</v>
      </c>
      <c r="S80">
        <f>IF(OR(cleaned_data!AF80="GlobalG.A.P.",cleaned_data!AF80="Fairtrade",cleaned_data!AF80="Organic (CERES)"),1,
IF(OR(cleaned_data!AF80="SIZA",cleaned_data!AF80="Woolworths TNC",cleaned_data!AF80="Checkers Good Farming"),0.75,
IF(cleaned_data!AF80="No Certificate",0,
IF(cleaned_data!AF80="Unknown","",""))))</f>
        <v>0</v>
      </c>
      <c r="T80">
        <f>IF(cleaned_data!AG80="Yes",1,0)</f>
        <v>0</v>
      </c>
      <c r="U80">
        <f>IF(OR(cleaned_data!AD80="No Loan",cleaned_data!AD80="Settled",cleaned_data!AD80="Current"),1,
IF(cleaned_data!AD80="In Arrears",0.5,
IF(cleaned_data!AD80="Defaulted",0,
IF(cleaned_data!AD80="Unknown","",""))))</f>
        <v>1</v>
      </c>
      <c r="V80" cm="1">
        <f t="array" ref="V80">_xlfn.IFS(cleaned_data!AE80&lt;=0.2,1,
cleaned_data!AE80&lt;=0.5,0.75,
cleaned_data!AE80&lt;=1,0.5,
cleaned_data!AE80&gt;1,0.25)</f>
        <v>1</v>
      </c>
      <c r="W80">
        <f>IF(cleaned_data!AJ80="Yes",1,0)</f>
        <v>1</v>
      </c>
      <c r="X80" s="2" cm="1">
        <f t="array" ref="X80">_xlfn.IFS(cleaned_data!AM80="Yes", 1,
cleaned_data!AM80="No", 0,
cleaned_data!AM80="Unknown", "")</f>
        <v>0</v>
      </c>
      <c r="Y80" cm="1">
        <f t="array" ref="Y80">_xlfn.IFS(cleaned_data!AK80="Solar", 1,
cleaned_data!AK80="Generator", 0.75,
cleaned_data!AK80="Eskom grid", 0.5,
TRUE, "")</f>
        <v>0.75</v>
      </c>
      <c r="Z80" cm="1">
        <f t="array" ref="Z80">_xlfn.IFS(cleaned_data!AL80="", "",
cleaned_data!AL80&lt;=8, 1,
cleaned_data!AL80&lt;=14, 0.75,
cleaned_data!AL80&lt;=21, 0.5,
cleaned_data!AL80&gt;=22, 0.25)</f>
        <v>1</v>
      </c>
      <c r="AA80" cm="1">
        <f t="array" ref="AA80">_xlfn.IFS(cleaned_data!AH80=0, 1,
cleaned_data!AH80=1, 0.75,
cleaned_data!AH80=2, 0.5,
cleaned_data!AH80&gt;=3, 0.25)</f>
        <v>0.25</v>
      </c>
      <c r="AB80" cm="1">
        <f t="array" ref="AB80">_xlfn.IFS(cleaned_data!AO80="", "",
cleaned_data!AO80&gt;=50, 1,
cleaned_data!AO80&gt;=30, 0.75,
cleaned_data!AO80&gt;=10, 0.5,
cleaned_data!AO80&lt;10, 0.25)</f>
        <v>1</v>
      </c>
      <c r="AC80" cm="1">
        <f t="array" ref="AC80">_xlfn.IFS(cleaned_data!AP80&gt;=50,1, cleaned_data!AP80&gt;=30,0.75, cleaned_data!AP80&gt;=10,0.5, cleaned_data!AP80&lt;10,0.25)</f>
        <v>1</v>
      </c>
      <c r="AD80" cm="1">
        <f t="array" ref="AD80">_xlfn.IFS(cleaned_data!AQ80&gt;=30,1,
cleaned_data!AQ80&gt;=20,0.75,
cleaned_data!AQ80&gt;=10,0.5,
cleaned_data!AQ80&lt;10,0.25)</f>
        <v>1</v>
      </c>
      <c r="AE80" cm="1">
        <f t="array" ref="AE80">_xlfn.IFS(cleaned_data!AR80&gt;=75,1,
cleaned_data!AR80&gt;=50,0.75,
cleaned_data!AR80&gt;=25,0.5,
cleaned_data!AR80&lt;25,0.25)</f>
        <v>1</v>
      </c>
      <c r="AF80">
        <f>IF(cleaned_data!AS80="Yes",1,0)</f>
        <v>0</v>
      </c>
    </row>
    <row r="81" spans="1:32" hidden="1" x14ac:dyDescent="0.35">
      <c r="A81" t="s">
        <v>222</v>
      </c>
      <c r="B81" t="s">
        <v>221</v>
      </c>
      <c r="C81">
        <f>IF(cleaned_data!K81="Registered",1,0)</f>
        <v>1</v>
      </c>
      <c r="D81">
        <f>IF(cleaned_data!L81="Yes",1,0)</f>
        <v>1</v>
      </c>
      <c r="E81">
        <f>IF(cleaned_data!M81="Yes",1,0)</f>
        <v>0</v>
      </c>
      <c r="F81">
        <f>IF(cleaned_data!O81="Unknown","",IF(cleaned_data!O81="Yes",1,0))</f>
        <v>1</v>
      </c>
      <c r="G81" cm="1">
        <f t="array" ref="G81">_xlfn.IFS(cleaned_data!N81="Owned",1,cleaned_data!N81="Leased",0.75,cleaned_data!N81="State land",0.5,cleaned_data!N81="Communal",0.25)</f>
        <v>0.75</v>
      </c>
      <c r="H81" s="2" cm="1">
        <f t="array" ref="H81">_xlfn.IFS(cleaned_data!G81&gt;=10,1,cleaned_data!G81&gt;=5,0.75,cleaned_data!G81&gt;=2,0.5,TRUE,0.25)</f>
        <v>1</v>
      </c>
      <c r="I81">
        <f>IF(cleaned_data!P81="None",0,1)</f>
        <v>1</v>
      </c>
      <c r="J81" s="2" cm="1">
        <f t="array" ref="J81">_xlfn.IFS(cleaned_data!H81&gt;=20,1,cleaned_data!H81&gt;=10,0.75,cleaned_data!H81&gt;=5,0.5,cleaned_data!H81&gt;=1,0.25,TRUE,0)</f>
        <v>1</v>
      </c>
      <c r="K81" cm="1">
        <f t="array" ref="K81">_xlfn.IFS(cleaned_data!Q81&gt;=100000,1,cleaned_data!Q81&gt;=50000,0.75,cleaned_data!Q81&gt;=10000,0.5,TRUE,0.25)</f>
        <v>0.75</v>
      </c>
      <c r="L81" cm="1">
        <f t="array" ref="L81">_xlfn.IFS(cleaned_data!T81="","",cleaned_data!T81&lt;=10,1,cleaned_data!T81&lt;=25,0.75,cleaned_data!T81&lt;=40,0.5, cleaned_data!T81&gt;40,0.25)</f>
        <v>0.75</v>
      </c>
      <c r="M81">
        <f>IF(cleaned_data!U81="Yes",1,0)</f>
        <v>1</v>
      </c>
      <c r="N81" cm="1">
        <f t="array" ref="N81">_xlfn.IFS(cleaned_data!V81="Unknown","",cleaned_data!V81="Yes",1,TRUE,0)</f>
        <v>0</v>
      </c>
      <c r="O81" cm="1">
        <f t="array" ref="O81">_xlfn.IFS(cleaned_data!S81&gt;=4,1,cleaned_data!S81=3,0.75,cleaned_data!S81=2,0.5,cleaned_data!S81=1,0.25,TRUE,0)</f>
        <v>1</v>
      </c>
      <c r="P81" cm="1">
        <f t="array" ref="P81">_xlfn.IFS(cleaned_data!AB81&gt;=50,1,cleaned_data!AB81&gt;=35,0.75,cleaned_data!AB81&gt;=20,0.5,TRUE,0.25)</f>
        <v>0.75</v>
      </c>
      <c r="Q81" cm="1">
        <f t="array" ref="Q81">_xlfn.IFS(cleaned_data!X81&gt;=5,1,cleaned_data!X81&gt;=3,0.75,cleaned_data!X81=2,0.5,cleaned_data!X81=1,0.25,TRUE,0)</f>
        <v>1</v>
      </c>
      <c r="R81">
        <f>IF(cleaned_data!Y81="Yes",1,0)</f>
        <v>0</v>
      </c>
      <c r="S81">
        <f>IF(OR(cleaned_data!AF81="GlobalG.A.P.",cleaned_data!AF81="Fairtrade",cleaned_data!AF81="Organic (CERES)"),1,
IF(OR(cleaned_data!AF81="SIZA",cleaned_data!AF81="Woolworths TNC",cleaned_data!AF81="Checkers Good Farming"),0.75,
IF(cleaned_data!AF81="No Certificate",0,
IF(cleaned_data!AF81="Unknown","",""))))</f>
        <v>0</v>
      </c>
      <c r="T81">
        <f>IF(cleaned_data!AG81="Yes",1,0)</f>
        <v>0</v>
      </c>
      <c r="U81">
        <f>IF(OR(cleaned_data!AD81="No Loan",cleaned_data!AD81="Settled",cleaned_data!AD81="Current"),1,
IF(cleaned_data!AD81="In Arrears",0.5,
IF(cleaned_data!AD81="Defaulted",0,
IF(cleaned_data!AD81="Unknown","",""))))</f>
        <v>1</v>
      </c>
      <c r="V81" cm="1">
        <f t="array" ref="V81">_xlfn.IFS(cleaned_data!AE81&lt;=0.2,1,
cleaned_data!AE81&lt;=0.5,0.75,
cleaned_data!AE81&lt;=1,0.5,
cleaned_data!AE81&gt;1,0.25)</f>
        <v>1</v>
      </c>
      <c r="W81">
        <f>IF(cleaned_data!AJ81="Yes",1,0)</f>
        <v>0</v>
      </c>
      <c r="X81" s="2" cm="1">
        <f t="array" ref="X81">_xlfn.IFS(cleaned_data!AM81="Yes", 1,
cleaned_data!AM81="No", 0,
cleaned_data!AM81="Unknown", "")</f>
        <v>0</v>
      </c>
      <c r="Y81" cm="1">
        <f t="array" ref="Y81">_xlfn.IFS(cleaned_data!AK81="Solar", 1,
cleaned_data!AK81="Generator", 0.75,
cleaned_data!AK81="Eskom grid", 0.5,
TRUE, "")</f>
        <v>1</v>
      </c>
      <c r="Z81" cm="1">
        <f t="array" ref="Z81">_xlfn.IFS(cleaned_data!AL81="", "",
cleaned_data!AL81&lt;=8, 1,
cleaned_data!AL81&lt;=14, 0.75,
cleaned_data!AL81&lt;=21, 0.5,
cleaned_data!AL81&gt;=22, 0.25)</f>
        <v>1</v>
      </c>
      <c r="AA81" cm="1">
        <f t="array" ref="AA81">_xlfn.IFS(cleaned_data!AH81=0, 1,
cleaned_data!AH81=1, 0.75,
cleaned_data!AH81=2, 0.5,
cleaned_data!AH81&gt;=3, 0.25)</f>
        <v>1</v>
      </c>
      <c r="AB81" cm="1">
        <f t="array" ref="AB81">_xlfn.IFS(cleaned_data!AO81="", "",
cleaned_data!AO81&gt;=50, 1,
cleaned_data!AO81&gt;=30, 0.75,
cleaned_data!AO81&gt;=10, 0.5,
cleaned_data!AO81&lt;10, 0.25)</f>
        <v>0.75</v>
      </c>
      <c r="AC81" cm="1">
        <f t="array" ref="AC81">_xlfn.IFS(cleaned_data!AP81&gt;=50,1, cleaned_data!AP81&gt;=30,0.75, cleaned_data!AP81&gt;=10,0.5, cleaned_data!AP81&lt;10,0.25)</f>
        <v>0.75</v>
      </c>
      <c r="AD81" cm="1">
        <f t="array" ref="AD81">_xlfn.IFS(cleaned_data!AQ81&gt;=30,1,
cleaned_data!AQ81&gt;=20,0.75,
cleaned_data!AQ81&gt;=10,0.5,
cleaned_data!AQ81&lt;10,0.25)</f>
        <v>1</v>
      </c>
      <c r="AE81" cm="1">
        <f t="array" ref="AE81">_xlfn.IFS(cleaned_data!AR81&gt;=75,1,
cleaned_data!AR81&gt;=50,0.75,
cleaned_data!AR81&gt;=25,0.5,
cleaned_data!AR81&lt;25,0.25)</f>
        <v>0.5</v>
      </c>
      <c r="AF81">
        <f>IF(cleaned_data!AS81="Yes",1,0)</f>
        <v>1</v>
      </c>
    </row>
    <row r="82" spans="1:32" hidden="1" x14ac:dyDescent="0.35">
      <c r="A82" t="s">
        <v>219</v>
      </c>
      <c r="B82" t="s">
        <v>218</v>
      </c>
      <c r="C82">
        <f>IF(cleaned_data!K82="Registered",1,0)</f>
        <v>1</v>
      </c>
      <c r="D82">
        <f>IF(cleaned_data!L82="Yes",1,0)</f>
        <v>0</v>
      </c>
      <c r="E82">
        <f>IF(cleaned_data!M82="Yes",1,0)</f>
        <v>0</v>
      </c>
      <c r="F82">
        <f>IF(cleaned_data!O82="Unknown","",IF(cleaned_data!O82="Yes",1,0))</f>
        <v>0</v>
      </c>
      <c r="G82" cm="1">
        <f t="array" ref="G82">_xlfn.IFS(cleaned_data!N82="Owned",1,cleaned_data!N82="Leased",0.75,cleaned_data!N82="State land",0.5,cleaned_data!N82="Communal",0.25)</f>
        <v>1</v>
      </c>
      <c r="H82" s="2" cm="1">
        <f t="array" ref="H82">_xlfn.IFS(cleaned_data!G82&gt;=10,1,cleaned_data!G82&gt;=5,0.75,cleaned_data!G82&gt;=2,0.5,TRUE,0.25)</f>
        <v>1</v>
      </c>
      <c r="I82">
        <f>IF(cleaned_data!P82="None",0,1)</f>
        <v>1</v>
      </c>
      <c r="J82" s="2" cm="1">
        <f t="array" ref="J82">_xlfn.IFS(cleaned_data!H82&gt;=20,1,cleaned_data!H82&gt;=10,0.75,cleaned_data!H82&gt;=5,0.5,cleaned_data!H82&gt;=1,0.25,TRUE,0)</f>
        <v>1</v>
      </c>
      <c r="K82" cm="1">
        <f t="array" ref="K82">_xlfn.IFS(cleaned_data!Q82&gt;=100000,1,cleaned_data!Q82&gt;=50000,0.75,cleaned_data!Q82&gt;=10000,0.5,TRUE,0.25)</f>
        <v>1</v>
      </c>
      <c r="L82" cm="1">
        <f t="array" ref="L82">_xlfn.IFS(cleaned_data!T82="","",cleaned_data!T82&lt;=10,1,cleaned_data!T82&lt;=25,0.75,cleaned_data!T82&lt;=40,0.5, cleaned_data!T82&gt;40,0.25)</f>
        <v>0.5</v>
      </c>
      <c r="M82">
        <f>IF(cleaned_data!U82="Yes",1,0)</f>
        <v>1</v>
      </c>
      <c r="N82" cm="1">
        <f t="array" ref="N82">_xlfn.IFS(cleaned_data!V82="Unknown","",cleaned_data!V82="Yes",1,TRUE,0)</f>
        <v>1</v>
      </c>
      <c r="O82" cm="1">
        <f t="array" ref="O82">_xlfn.IFS(cleaned_data!S82&gt;=4,1,cleaned_data!S82=3,0.75,cleaned_data!S82=2,0.5,cleaned_data!S82=1,0.25,TRUE,0)</f>
        <v>0.25</v>
      </c>
      <c r="P82" cm="1">
        <f t="array" ref="P82">_xlfn.IFS(cleaned_data!AB82&gt;=50,1,cleaned_data!AB82&gt;=35,0.75,cleaned_data!AB82&gt;=20,0.5,TRUE,0.25)</f>
        <v>0.75</v>
      </c>
      <c r="Q82" cm="1">
        <f t="array" ref="Q82">_xlfn.IFS(cleaned_data!X82&gt;=5,1,cleaned_data!X82&gt;=3,0.75,cleaned_data!X82=2,0.5,cleaned_data!X82=1,0.25,TRUE,0)</f>
        <v>0.75</v>
      </c>
      <c r="R82">
        <f>IF(cleaned_data!Y82="Yes",1,0)</f>
        <v>1</v>
      </c>
      <c r="S82">
        <f>IF(OR(cleaned_data!AF82="GlobalG.A.P.",cleaned_data!AF82="Fairtrade",cleaned_data!AF82="Organic (CERES)"),1,
IF(OR(cleaned_data!AF82="SIZA",cleaned_data!AF82="Woolworths TNC",cleaned_data!AF82="Checkers Good Farming"),0.75,
IF(cleaned_data!AF82="No Certificate",0,
IF(cleaned_data!AF82="Unknown","",""))))</f>
        <v>0.75</v>
      </c>
      <c r="T82">
        <f>IF(cleaned_data!AG82="Yes",1,0)</f>
        <v>0</v>
      </c>
      <c r="U82">
        <f>IF(OR(cleaned_data!AD82="No Loan",cleaned_data!AD82="Settled",cleaned_data!AD82="Current"),1,
IF(cleaned_data!AD82="In Arrears",0.5,
IF(cleaned_data!AD82="Defaulted",0,
IF(cleaned_data!AD82="Unknown","",""))))</f>
        <v>1</v>
      </c>
      <c r="V82" cm="1">
        <f t="array" ref="V82">_xlfn.IFS(cleaned_data!AE82&lt;=0.2,1,
cleaned_data!AE82&lt;=0.5,0.75,
cleaned_data!AE82&lt;=1,0.5,
cleaned_data!AE82&gt;1,0.25)</f>
        <v>1</v>
      </c>
      <c r="W82">
        <f>IF(cleaned_data!AJ82="Yes",1,0)</f>
        <v>0</v>
      </c>
      <c r="X82" s="2" cm="1">
        <f t="array" ref="X82">_xlfn.IFS(cleaned_data!AM82="Yes", 1,
cleaned_data!AM82="No", 0,
cleaned_data!AM82="Unknown", "")</f>
        <v>1</v>
      </c>
      <c r="Y82" cm="1">
        <f t="array" ref="Y82">_xlfn.IFS(cleaned_data!AK82="Solar", 1,
cleaned_data!AK82="Generator", 0.75,
cleaned_data!AK82="Eskom grid", 0.5,
TRUE, "")</f>
        <v>1</v>
      </c>
      <c r="Z82" cm="1">
        <f t="array" ref="Z82">_xlfn.IFS(cleaned_data!AL82="", "",
cleaned_data!AL82&lt;=8, 1,
cleaned_data!AL82&lt;=14, 0.75,
cleaned_data!AL82&lt;=21, 0.5,
cleaned_data!AL82&gt;=22, 0.25)</f>
        <v>0.25</v>
      </c>
      <c r="AA82" cm="1">
        <f t="array" ref="AA82">_xlfn.IFS(cleaned_data!AH82=0, 1,
cleaned_data!AH82=1, 0.75,
cleaned_data!AH82=2, 0.5,
cleaned_data!AH82&gt;=3, 0.25)</f>
        <v>0.5</v>
      </c>
      <c r="AB82" cm="1">
        <f t="array" ref="AB82">_xlfn.IFS(cleaned_data!AO82="", "",
cleaned_data!AO82&gt;=50, 1,
cleaned_data!AO82&gt;=30, 0.75,
cleaned_data!AO82&gt;=10, 0.5,
cleaned_data!AO82&lt;10, 0.25)</f>
        <v>0.5</v>
      </c>
      <c r="AC82" cm="1">
        <f t="array" ref="AC82">_xlfn.IFS(cleaned_data!AP82&gt;=50,1, cleaned_data!AP82&gt;=30,0.75, cleaned_data!AP82&gt;=10,0.5, cleaned_data!AP82&lt;10,0.25)</f>
        <v>1</v>
      </c>
      <c r="AD82" cm="1">
        <f t="array" ref="AD82">_xlfn.IFS(cleaned_data!AQ82&gt;=30,1,
cleaned_data!AQ82&gt;=20,0.75,
cleaned_data!AQ82&gt;=10,0.5,
cleaned_data!AQ82&lt;10,0.25)</f>
        <v>1</v>
      </c>
      <c r="AE82" cm="1">
        <f t="array" ref="AE82">_xlfn.IFS(cleaned_data!AR82&gt;=75,1,
cleaned_data!AR82&gt;=50,0.75,
cleaned_data!AR82&gt;=25,0.5,
cleaned_data!AR82&lt;25,0.25)</f>
        <v>0.5</v>
      </c>
      <c r="AF82">
        <f>IF(cleaned_data!AS82="Yes",1,0)</f>
        <v>1</v>
      </c>
    </row>
    <row r="83" spans="1:32" hidden="1" x14ac:dyDescent="0.35">
      <c r="A83" t="s">
        <v>217</v>
      </c>
      <c r="B83" t="s">
        <v>216</v>
      </c>
      <c r="C83">
        <f>IF(cleaned_data!K83="Registered",1,0)</f>
        <v>0</v>
      </c>
      <c r="D83">
        <f>IF(cleaned_data!L83="Yes",1,0)</f>
        <v>0</v>
      </c>
      <c r="E83">
        <f>IF(cleaned_data!M83="Yes",1,0)</f>
        <v>1</v>
      </c>
      <c r="F83">
        <f>IF(cleaned_data!O83="Unknown","",IF(cleaned_data!O83="Yes",1,0))</f>
        <v>0</v>
      </c>
      <c r="G83" cm="1">
        <f t="array" ref="G83">_xlfn.IFS(cleaned_data!N83="Owned",1,cleaned_data!N83="Leased",0.75,cleaned_data!N83="State land",0.5,cleaned_data!N83="Communal",0.25)</f>
        <v>0.5</v>
      </c>
      <c r="H83" s="2" cm="1">
        <f t="array" ref="H83">_xlfn.IFS(cleaned_data!G83&gt;=10,1,cleaned_data!G83&gt;=5,0.75,cleaned_data!G83&gt;=2,0.5,TRUE,0.25)</f>
        <v>1</v>
      </c>
      <c r="I83">
        <f>IF(cleaned_data!P83="None",0,1)</f>
        <v>1</v>
      </c>
      <c r="J83" s="2" cm="1">
        <f t="array" ref="J83">_xlfn.IFS(cleaned_data!H83&gt;=20,1,cleaned_data!H83&gt;=10,0.75,cleaned_data!H83&gt;=5,0.5,cleaned_data!H83&gt;=1,0.25,TRUE,0)</f>
        <v>0.75</v>
      </c>
      <c r="K83" cm="1">
        <f t="array" ref="K83">_xlfn.IFS(cleaned_data!Q83&gt;=100000,1,cleaned_data!Q83&gt;=50000,0.75,cleaned_data!Q83&gt;=10000,0.5,TRUE,0.25)</f>
        <v>0.75</v>
      </c>
      <c r="L83" cm="1">
        <f t="array" ref="L83">_xlfn.IFS(cleaned_data!T83="","",cleaned_data!T83&lt;=10,1,cleaned_data!T83&lt;=25,0.75,cleaned_data!T83&lt;=40,0.5, cleaned_data!T83&gt;40,0.25)</f>
        <v>0.5</v>
      </c>
      <c r="M83">
        <f>IF(cleaned_data!U83="Yes",1,0)</f>
        <v>1</v>
      </c>
      <c r="N83" cm="1">
        <f t="array" ref="N83">_xlfn.IFS(cleaned_data!V83="Unknown","",cleaned_data!V83="Yes",1,TRUE,0)</f>
        <v>0</v>
      </c>
      <c r="O83" cm="1">
        <f t="array" ref="O83">_xlfn.IFS(cleaned_data!S83&gt;=4,1,cleaned_data!S83=3,0.75,cleaned_data!S83=2,0.5,cleaned_data!S83=1,0.25,TRUE,0)</f>
        <v>0.5</v>
      </c>
      <c r="P83" cm="1">
        <f t="array" ref="P83">_xlfn.IFS(cleaned_data!AB83&gt;=50,1,cleaned_data!AB83&gt;=35,0.75,cleaned_data!AB83&gt;=20,0.5,TRUE,0.25)</f>
        <v>0.5</v>
      </c>
      <c r="Q83" cm="1">
        <f t="array" ref="Q83">_xlfn.IFS(cleaned_data!X83&gt;=5,1,cleaned_data!X83&gt;=3,0.75,cleaned_data!X83=2,0.5,cleaned_data!X83=1,0.25,TRUE,0)</f>
        <v>0.5</v>
      </c>
      <c r="R83">
        <f>IF(cleaned_data!Y83="Yes",1,0)</f>
        <v>0</v>
      </c>
      <c r="S83">
        <f>IF(OR(cleaned_data!AF83="GlobalG.A.P.",cleaned_data!AF83="Fairtrade",cleaned_data!AF83="Organic (CERES)"),1,
IF(OR(cleaned_data!AF83="SIZA",cleaned_data!AF83="Woolworths TNC",cleaned_data!AF83="Checkers Good Farming"),0.75,
IF(cleaned_data!AF83="No Certificate",0,
IF(cleaned_data!AF83="Unknown","",""))))</f>
        <v>0</v>
      </c>
      <c r="T83">
        <f>IF(cleaned_data!AG83="Yes",1,0)</f>
        <v>0</v>
      </c>
      <c r="U83">
        <f>IF(OR(cleaned_data!AD83="No Loan",cleaned_data!AD83="Settled",cleaned_data!AD83="Current"),1,
IF(cleaned_data!AD83="In Arrears",0.5,
IF(cleaned_data!AD83="Defaulted",0,
IF(cleaned_data!AD83="Unknown","",""))))</f>
        <v>0.5</v>
      </c>
      <c r="V83" cm="1">
        <f t="array" ref="V83">_xlfn.IFS(cleaned_data!AE83&lt;=0.2,1,
cleaned_data!AE83&lt;=0.5,0.75,
cleaned_data!AE83&lt;=1,0.5,
cleaned_data!AE83&gt;1,0.25)</f>
        <v>1</v>
      </c>
      <c r="W83">
        <f>IF(cleaned_data!AJ83="Yes",1,0)</f>
        <v>1</v>
      </c>
      <c r="X83" s="2" cm="1">
        <f t="array" ref="X83">_xlfn.IFS(cleaned_data!AM83="Yes", 1,
cleaned_data!AM83="No", 0,
cleaned_data!AM83="Unknown", "")</f>
        <v>0</v>
      </c>
      <c r="Y83" cm="1">
        <f t="array" ref="Y83">_xlfn.IFS(cleaned_data!AK83="Solar", 1,
cleaned_data!AK83="Generator", 0.75,
cleaned_data!AK83="Eskom grid", 0.5,
TRUE, "")</f>
        <v>0.75</v>
      </c>
      <c r="Z83" cm="1">
        <f t="array" ref="Z83">_xlfn.IFS(cleaned_data!AL83="", "",
cleaned_data!AL83&lt;=8, 1,
cleaned_data!AL83&lt;=14, 0.75,
cleaned_data!AL83&lt;=21, 0.5,
cleaned_data!AL83&gt;=22, 0.25)</f>
        <v>0.75</v>
      </c>
      <c r="AA83" cm="1">
        <f t="array" ref="AA83">_xlfn.IFS(cleaned_data!AH83=0, 1,
cleaned_data!AH83=1, 0.75,
cleaned_data!AH83=2, 0.5,
cleaned_data!AH83&gt;=3, 0.25)</f>
        <v>0.75</v>
      </c>
      <c r="AB83" cm="1">
        <f t="array" ref="AB83">_xlfn.IFS(cleaned_data!AO83="", "",
cleaned_data!AO83&gt;=50, 1,
cleaned_data!AO83&gt;=30, 0.75,
cleaned_data!AO83&gt;=10, 0.5,
cleaned_data!AO83&lt;10, 0.25)</f>
        <v>0.75</v>
      </c>
      <c r="AC83" cm="1">
        <f t="array" ref="AC83">_xlfn.IFS(cleaned_data!AP83&gt;=50,1, cleaned_data!AP83&gt;=30,0.75, cleaned_data!AP83&gt;=10,0.5, cleaned_data!AP83&lt;10,0.25)</f>
        <v>0.5</v>
      </c>
      <c r="AD83" cm="1">
        <f t="array" ref="AD83">_xlfn.IFS(cleaned_data!AQ83&gt;=30,1,
cleaned_data!AQ83&gt;=20,0.75,
cleaned_data!AQ83&gt;=10,0.5,
cleaned_data!AQ83&lt;10,0.25)</f>
        <v>0.5</v>
      </c>
      <c r="AE83" cm="1">
        <f t="array" ref="AE83">_xlfn.IFS(cleaned_data!AR83&gt;=75,1,
cleaned_data!AR83&gt;=50,0.75,
cleaned_data!AR83&gt;=25,0.5,
cleaned_data!AR83&lt;25,0.25)</f>
        <v>1</v>
      </c>
      <c r="AF83">
        <f>IF(cleaned_data!AS83="Yes",1,0)</f>
        <v>1</v>
      </c>
    </row>
    <row r="84" spans="1:32" x14ac:dyDescent="0.35">
      <c r="A84" t="s">
        <v>214</v>
      </c>
      <c r="B84" t="s">
        <v>150</v>
      </c>
      <c r="C84">
        <f>IF(cleaned_data!K84="Registered",1,0)</f>
        <v>1</v>
      </c>
      <c r="D84">
        <f>IF(cleaned_data!L84="Yes",1,0)</f>
        <v>1</v>
      </c>
      <c r="E84">
        <f>IF(cleaned_data!M84="Yes",1,0)</f>
        <v>1</v>
      </c>
      <c r="F84">
        <f>IF(cleaned_data!O84="Unknown","",IF(cleaned_data!O84="Yes",1,0))</f>
        <v>0</v>
      </c>
      <c r="G84" cm="1">
        <f t="array" ref="G84">_xlfn.IFS(cleaned_data!N84="Owned",1,cleaned_data!N84="Leased",0.75,cleaned_data!N84="State land",0.5,cleaned_data!N84="Communal",0.25)</f>
        <v>0.5</v>
      </c>
      <c r="H84" s="2" cm="1">
        <f t="array" ref="H84">_xlfn.IFS(cleaned_data!G84&gt;=10,1,cleaned_data!G84&gt;=5,0.75,cleaned_data!G84&gt;=2,0.5,TRUE,0.25)</f>
        <v>1</v>
      </c>
      <c r="I84">
        <f>IF(cleaned_data!P84="None",0,1)</f>
        <v>0</v>
      </c>
      <c r="J84" s="2" cm="1">
        <f t="array" ref="J84">_xlfn.IFS(cleaned_data!H84&gt;=20,1,cleaned_data!H84&gt;=10,0.75,cleaned_data!H84&gt;=5,0.5,cleaned_data!H84&gt;=1,0.25,TRUE,0)</f>
        <v>0.75</v>
      </c>
      <c r="K84" cm="1">
        <f t="array" ref="K84">_xlfn.IFS(cleaned_data!Q84&gt;=100000,1,cleaned_data!Q84&gt;=50000,0.75,cleaned_data!Q84&gt;=10000,0.5,TRUE,0.25)</f>
        <v>1</v>
      </c>
      <c r="L84" cm="1">
        <f t="array" ref="L84">_xlfn.IFS(cleaned_data!T84="","",cleaned_data!T84&lt;=10,1,cleaned_data!T84&lt;=25,0.75,cleaned_data!T84&lt;=40,0.5, cleaned_data!T84&gt;40,0.25)</f>
        <v>0.5</v>
      </c>
      <c r="M84">
        <f>IF(cleaned_data!U84="Yes",1,0)</f>
        <v>1</v>
      </c>
      <c r="N84" cm="1">
        <f t="array" ref="N84">_xlfn.IFS(cleaned_data!V84="Unknown","",cleaned_data!V84="Yes",1,TRUE,0)</f>
        <v>1</v>
      </c>
      <c r="O84" cm="1">
        <f t="array" ref="O84">_xlfn.IFS(cleaned_data!S84&gt;=4,1,cleaned_data!S84=3,0.75,cleaned_data!S84=2,0.5,cleaned_data!S84=1,0.25,TRUE,0)</f>
        <v>0.75</v>
      </c>
      <c r="P84" cm="1">
        <f t="array" ref="P84">_xlfn.IFS(cleaned_data!AB84&gt;=50,1,cleaned_data!AB84&gt;=35,0.75,cleaned_data!AB84&gt;=20,0.5,TRUE,0.25)</f>
        <v>0.75</v>
      </c>
      <c r="Q84" cm="1">
        <f t="array" ref="Q84">_xlfn.IFS(cleaned_data!X84&gt;=5,1,cleaned_data!X84&gt;=3,0.75,cleaned_data!X84=2,0.5,cleaned_data!X84=1,0.25,TRUE,0)</f>
        <v>0.75</v>
      </c>
      <c r="R84">
        <f>IF(cleaned_data!Y84="Yes",1,0)</f>
        <v>1</v>
      </c>
      <c r="S84">
        <f>IF(OR(cleaned_data!AF84="GlobalG.A.P.",cleaned_data!AF84="Fairtrade",cleaned_data!AF84="Organic (CERES)"),1,
IF(OR(cleaned_data!AF84="SIZA",cleaned_data!AF84="Woolworths TNC",cleaned_data!AF84="Checkers Good Farming"),0.75,
IF(cleaned_data!AF84="No Certificate",0,
IF(cleaned_data!AF84="Unknown","",""))))</f>
        <v>1</v>
      </c>
      <c r="T84">
        <f>IF(cleaned_data!AG84="Yes",1,0)</f>
        <v>0</v>
      </c>
      <c r="U84">
        <f>IF(OR(cleaned_data!AD84="No Loan",cleaned_data!AD84="Settled",cleaned_data!AD84="Current"),1,
IF(cleaned_data!AD84="In Arrears",0.5,
IF(cleaned_data!AD84="Defaulted",0,
IF(cleaned_data!AD84="Unknown","",""))))</f>
        <v>1</v>
      </c>
      <c r="V84" cm="1">
        <f t="array" ref="V84">_xlfn.IFS(cleaned_data!AE84&lt;=0.2,1,
cleaned_data!AE84&lt;=0.5,0.75,
cleaned_data!AE84&lt;=1,0.5,
cleaned_data!AE84&gt;1,0.25)</f>
        <v>1</v>
      </c>
      <c r="W84">
        <f>IF(cleaned_data!AJ84="Yes",1,0)</f>
        <v>0</v>
      </c>
      <c r="X84" s="2" cm="1">
        <f t="array" ref="X84">_xlfn.IFS(cleaned_data!AM84="Yes", 1,
cleaned_data!AM84="No", 0,
cleaned_data!AM84="Unknown", "")</f>
        <v>0</v>
      </c>
      <c r="Y84" cm="1">
        <f t="array" ref="Y84">_xlfn.IFS(cleaned_data!AK84="Solar", 1,
cleaned_data!AK84="Generator", 0.75,
cleaned_data!AK84="Eskom grid", 0.5,
TRUE, "")</f>
        <v>0.5</v>
      </c>
      <c r="Z84" cm="1">
        <f t="array" ref="Z84">_xlfn.IFS(cleaned_data!AL84="", "",
cleaned_data!AL84&lt;=8, 1,
cleaned_data!AL84&lt;=14, 0.75,
cleaned_data!AL84&lt;=21, 0.5,
cleaned_data!AL84&gt;=22, 0.25)</f>
        <v>0.5</v>
      </c>
      <c r="AA84" cm="1">
        <f t="array" ref="AA84">_xlfn.IFS(cleaned_data!AH84=0, 1,
cleaned_data!AH84=1, 0.75,
cleaned_data!AH84=2, 0.5,
cleaned_data!AH84&gt;=3, 0.25)</f>
        <v>0.5</v>
      </c>
      <c r="AB84" cm="1">
        <f t="array" ref="AB84">_xlfn.IFS(cleaned_data!AO84="", "",
cleaned_data!AO84&gt;=50, 1,
cleaned_data!AO84&gt;=30, 0.75,
cleaned_data!AO84&gt;=10, 0.5,
cleaned_data!AO84&lt;10, 0.25)</f>
        <v>1</v>
      </c>
      <c r="AC84" cm="1">
        <f t="array" ref="AC84">_xlfn.IFS(cleaned_data!AP84&gt;=50,1, cleaned_data!AP84&gt;=30,0.75, cleaned_data!AP84&gt;=10,0.5, cleaned_data!AP84&lt;10,0.25)</f>
        <v>1</v>
      </c>
      <c r="AD84" cm="1">
        <f t="array" ref="AD84">_xlfn.IFS(cleaned_data!AQ84&gt;=30,1,
cleaned_data!AQ84&gt;=20,0.75,
cleaned_data!AQ84&gt;=10,0.5,
cleaned_data!AQ84&lt;10,0.25)</f>
        <v>1</v>
      </c>
      <c r="AE84" cm="1">
        <f t="array" ref="AE84">_xlfn.IFS(cleaned_data!AR84&gt;=75,1,
cleaned_data!AR84&gt;=50,0.75,
cleaned_data!AR84&gt;=25,0.5,
cleaned_data!AR84&lt;25,0.25)</f>
        <v>1</v>
      </c>
      <c r="AF84">
        <f>IF(cleaned_data!AS84="Yes",1,0)</f>
        <v>0</v>
      </c>
    </row>
    <row r="85" spans="1:32" x14ac:dyDescent="0.35">
      <c r="A85" t="s">
        <v>213</v>
      </c>
      <c r="B85" t="s">
        <v>96</v>
      </c>
      <c r="C85">
        <f>IF(cleaned_data!K85="Registered",1,0)</f>
        <v>0</v>
      </c>
      <c r="D85">
        <f>IF(cleaned_data!L85="Yes",1,0)</f>
        <v>0</v>
      </c>
      <c r="E85">
        <f>IF(cleaned_data!M85="Yes",1,0)</f>
        <v>1</v>
      </c>
      <c r="F85">
        <f>IF(cleaned_data!O85="Unknown","",IF(cleaned_data!O85="Yes",1,0))</f>
        <v>0</v>
      </c>
      <c r="G85" cm="1">
        <f t="array" ref="G85">_xlfn.IFS(cleaned_data!N85="Owned",1,cleaned_data!N85="Leased",0.75,cleaned_data!N85="State land",0.5,cleaned_data!N85="Communal",0.25)</f>
        <v>0.75</v>
      </c>
      <c r="H85" s="2" cm="1">
        <f t="array" ref="H85">_xlfn.IFS(cleaned_data!G85&gt;=10,1,cleaned_data!G85&gt;=5,0.75,cleaned_data!G85&gt;=2,0.5,TRUE,0.25)</f>
        <v>1</v>
      </c>
      <c r="I85">
        <f>IF(cleaned_data!P85="None",0,1)</f>
        <v>1</v>
      </c>
      <c r="J85" s="2" cm="1">
        <f t="array" ref="J85">_xlfn.IFS(cleaned_data!H85&gt;=20,1,cleaned_data!H85&gt;=10,0.75,cleaned_data!H85&gt;=5,0.5,cleaned_data!H85&gt;=1,0.25,TRUE,0)</f>
        <v>1</v>
      </c>
      <c r="K85" cm="1">
        <f t="array" ref="K85">_xlfn.IFS(cleaned_data!Q85&gt;=100000,1,cleaned_data!Q85&gt;=50000,0.75,cleaned_data!Q85&gt;=10000,0.5,TRUE,0.25)</f>
        <v>0.75</v>
      </c>
      <c r="L85" cm="1">
        <f t="array" ref="L85">_xlfn.IFS(cleaned_data!T85="","",cleaned_data!T85&lt;=10,1,cleaned_data!T85&lt;=25,0.75,cleaned_data!T85&lt;=40,0.5, cleaned_data!T85&gt;40,0.25)</f>
        <v>0.75</v>
      </c>
      <c r="M85">
        <f>IF(cleaned_data!U85="Yes",1,0)</f>
        <v>1</v>
      </c>
      <c r="N85" cm="1">
        <f t="array" ref="N85">_xlfn.IFS(cleaned_data!V85="Unknown","",cleaned_data!V85="Yes",1,TRUE,0)</f>
        <v>1</v>
      </c>
      <c r="O85" cm="1">
        <f t="array" ref="O85">_xlfn.IFS(cleaned_data!S85&gt;=4,1,cleaned_data!S85=3,0.75,cleaned_data!S85=2,0.5,cleaned_data!S85=1,0.25,TRUE,0)</f>
        <v>1</v>
      </c>
      <c r="P85" cm="1">
        <f t="array" ref="P85">_xlfn.IFS(cleaned_data!AB85&gt;=50,1,cleaned_data!AB85&gt;=35,0.75,cleaned_data!AB85&gt;=20,0.5,TRUE,0.25)</f>
        <v>1</v>
      </c>
      <c r="Q85" cm="1">
        <f t="array" ref="Q85">_xlfn.IFS(cleaned_data!X85&gt;=5,1,cleaned_data!X85&gt;=3,0.75,cleaned_data!X85=2,0.5,cleaned_data!X85=1,0.25,TRUE,0)</f>
        <v>1</v>
      </c>
      <c r="R85">
        <f>IF(cleaned_data!Y85="Yes",1,0)</f>
        <v>0</v>
      </c>
      <c r="S85">
        <f>IF(OR(cleaned_data!AF85="GlobalG.A.P.",cleaned_data!AF85="Fairtrade",cleaned_data!AF85="Organic (CERES)"),1,
IF(OR(cleaned_data!AF85="SIZA",cleaned_data!AF85="Woolworths TNC",cleaned_data!AF85="Checkers Good Farming"),0.75,
IF(cleaned_data!AF85="No Certificate",0,
IF(cleaned_data!AF85="Unknown","",""))))</f>
        <v>0.75</v>
      </c>
      <c r="T85">
        <f>IF(cleaned_data!AG85="Yes",1,0)</f>
        <v>1</v>
      </c>
      <c r="U85">
        <f>IF(OR(cleaned_data!AD85="No Loan",cleaned_data!AD85="Settled",cleaned_data!AD85="Current"),1,
IF(cleaned_data!AD85="In Arrears",0.5,
IF(cleaned_data!AD85="Defaulted",0,
IF(cleaned_data!AD85="Unknown","",""))))</f>
        <v>1</v>
      </c>
      <c r="V85" cm="1">
        <f t="array" ref="V85">_xlfn.IFS(cleaned_data!AE85&lt;=0.2,1,
cleaned_data!AE85&lt;=0.5,0.75,
cleaned_data!AE85&lt;=1,0.5,
cleaned_data!AE85&gt;1,0.25)</f>
        <v>1</v>
      </c>
      <c r="W85">
        <f>IF(cleaned_data!AJ85="Yes",1,0)</f>
        <v>0</v>
      </c>
      <c r="X85" s="2" cm="1">
        <f t="array" ref="X85">_xlfn.IFS(cleaned_data!AM85="Yes", 1,
cleaned_data!AM85="No", 0,
cleaned_data!AM85="Unknown", "")</f>
        <v>1</v>
      </c>
      <c r="Y85" cm="1">
        <f t="array" ref="Y85">_xlfn.IFS(cleaned_data!AK85="Solar", 1,
cleaned_data!AK85="Generator", 0.75,
cleaned_data!AK85="Eskom grid", 0.5,
TRUE, "")</f>
        <v>0.5</v>
      </c>
      <c r="Z85" cm="1">
        <f t="array" ref="Z85">_xlfn.IFS(cleaned_data!AL85="", "",
cleaned_data!AL85&lt;=8, 1,
cleaned_data!AL85&lt;=14, 0.75,
cleaned_data!AL85&lt;=21, 0.5,
cleaned_data!AL85&gt;=22, 0.25)</f>
        <v>0.75</v>
      </c>
      <c r="AA85" cm="1">
        <f t="array" ref="AA85">_xlfn.IFS(cleaned_data!AH85=0, 1,
cleaned_data!AH85=1, 0.75,
cleaned_data!AH85=2, 0.5,
cleaned_data!AH85&gt;=3, 0.25)</f>
        <v>0.5</v>
      </c>
      <c r="AB85" cm="1">
        <f t="array" ref="AB85">_xlfn.IFS(cleaned_data!AO85="", "",
cleaned_data!AO85&gt;=50, 1,
cleaned_data!AO85&gt;=30, 0.75,
cleaned_data!AO85&gt;=10, 0.5,
cleaned_data!AO85&lt;10, 0.25)</f>
        <v>1</v>
      </c>
      <c r="AC85" cm="1">
        <f t="array" ref="AC85">_xlfn.IFS(cleaned_data!AP85&gt;=50,1, cleaned_data!AP85&gt;=30,0.75, cleaned_data!AP85&gt;=10,0.5, cleaned_data!AP85&lt;10,0.25)</f>
        <v>0.75</v>
      </c>
      <c r="AD85" cm="1">
        <f t="array" ref="AD85">_xlfn.IFS(cleaned_data!AQ85&gt;=30,1,
cleaned_data!AQ85&gt;=20,0.75,
cleaned_data!AQ85&gt;=10,0.5,
cleaned_data!AQ85&lt;10,0.25)</f>
        <v>0.5</v>
      </c>
      <c r="AE85" cm="1">
        <f t="array" ref="AE85">_xlfn.IFS(cleaned_data!AR85&gt;=75,1,
cleaned_data!AR85&gt;=50,0.75,
cleaned_data!AR85&gt;=25,0.5,
cleaned_data!AR85&lt;25,0.25)</f>
        <v>0.5</v>
      </c>
      <c r="AF85">
        <f>IF(cleaned_data!AS85="Yes",1,0)</f>
        <v>0</v>
      </c>
    </row>
    <row r="86" spans="1:32" x14ac:dyDescent="0.35">
      <c r="A86" t="s">
        <v>212</v>
      </c>
      <c r="B86" t="s">
        <v>211</v>
      </c>
      <c r="C86">
        <f>IF(cleaned_data!K86="Registered",1,0)</f>
        <v>1</v>
      </c>
      <c r="D86">
        <f>IF(cleaned_data!L86="Yes",1,0)</f>
        <v>1</v>
      </c>
      <c r="E86">
        <f>IF(cleaned_data!M86="Yes",1,0)</f>
        <v>1</v>
      </c>
      <c r="F86">
        <f>IF(cleaned_data!O86="Unknown","",IF(cleaned_data!O86="Yes",1,0))</f>
        <v>0</v>
      </c>
      <c r="G86" cm="1">
        <f t="array" ref="G86">_xlfn.IFS(cleaned_data!N86="Owned",1,cleaned_data!N86="Leased",0.75,cleaned_data!N86="State land",0.5,cleaned_data!N86="Communal",0.25)</f>
        <v>0.75</v>
      </c>
      <c r="H86" s="2" cm="1">
        <f t="array" ref="H86">_xlfn.IFS(cleaned_data!G86&gt;=10,1,cleaned_data!G86&gt;=5,0.75,cleaned_data!G86&gt;=2,0.5,TRUE,0.25)</f>
        <v>0.75</v>
      </c>
      <c r="I86">
        <f>IF(cleaned_data!P86="None",0,1)</f>
        <v>1</v>
      </c>
      <c r="J86" s="2" cm="1">
        <f t="array" ref="J86">_xlfn.IFS(cleaned_data!H86&gt;=20,1,cleaned_data!H86&gt;=10,0.75,cleaned_data!H86&gt;=5,0.5,cleaned_data!H86&gt;=1,0.25,TRUE,0)</f>
        <v>1</v>
      </c>
      <c r="K86" cm="1">
        <f t="array" ref="K86">_xlfn.IFS(cleaned_data!Q86&gt;=100000,1,cleaned_data!Q86&gt;=50000,0.75,cleaned_data!Q86&gt;=10000,0.5,TRUE,0.25)</f>
        <v>0.5</v>
      </c>
      <c r="L86" cm="1">
        <f t="array" ref="L86">_xlfn.IFS(cleaned_data!T86="","",cleaned_data!T86&lt;=10,1,cleaned_data!T86&lt;=25,0.75,cleaned_data!T86&lt;=40,0.5, cleaned_data!T86&gt;40,0.25)</f>
        <v>0.5</v>
      </c>
      <c r="M86">
        <f>IF(cleaned_data!U86="Yes",1,0)</f>
        <v>1</v>
      </c>
      <c r="N86" cm="1">
        <f t="array" ref="N86">_xlfn.IFS(cleaned_data!V86="Unknown","",cleaned_data!V86="Yes",1,TRUE,0)</f>
        <v>0</v>
      </c>
      <c r="O86" cm="1">
        <f t="array" ref="O86">_xlfn.IFS(cleaned_data!S86&gt;=4,1,cleaned_data!S86=3,0.75,cleaned_data!S86=2,0.5,cleaned_data!S86=1,0.25,TRUE,0)</f>
        <v>0.5</v>
      </c>
      <c r="P86" cm="1">
        <f t="array" ref="P86">_xlfn.IFS(cleaned_data!AB86&gt;=50,1,cleaned_data!AB86&gt;=35,0.75,cleaned_data!AB86&gt;=20,0.5,TRUE,0.25)</f>
        <v>1</v>
      </c>
      <c r="Q86" cm="1">
        <f t="array" ref="Q86">_xlfn.IFS(cleaned_data!X86&gt;=5,1,cleaned_data!X86&gt;=3,0.75,cleaned_data!X86=2,0.5,cleaned_data!X86=1,0.25,TRUE,0)</f>
        <v>0.75</v>
      </c>
      <c r="R86">
        <f>IF(cleaned_data!Y86="Yes",1,0)</f>
        <v>0</v>
      </c>
      <c r="S86">
        <f>IF(OR(cleaned_data!AF86="GlobalG.A.P.",cleaned_data!AF86="Fairtrade",cleaned_data!AF86="Organic (CERES)"),1,
IF(OR(cleaned_data!AF86="SIZA",cleaned_data!AF86="Woolworths TNC",cleaned_data!AF86="Checkers Good Farming"),0.75,
IF(cleaned_data!AF86="No Certificate",0,
IF(cleaned_data!AF86="Unknown","",""))))</f>
        <v>0.75</v>
      </c>
      <c r="T86">
        <f>IF(cleaned_data!AG86="Yes",1,0)</f>
        <v>0</v>
      </c>
      <c r="U86">
        <f>IF(OR(cleaned_data!AD86="No Loan",cleaned_data!AD86="Settled",cleaned_data!AD86="Current"),1,
IF(cleaned_data!AD86="In Arrears",0.5,
IF(cleaned_data!AD86="Defaulted",0,
IF(cleaned_data!AD86="Unknown","",""))))</f>
        <v>1</v>
      </c>
      <c r="V86" cm="1">
        <f t="array" ref="V86">_xlfn.IFS(cleaned_data!AE86&lt;=0.2,1,
cleaned_data!AE86&lt;=0.5,0.75,
cleaned_data!AE86&lt;=1,0.5,
cleaned_data!AE86&gt;1,0.25)</f>
        <v>1</v>
      </c>
      <c r="W86">
        <f>IF(cleaned_data!AJ86="Yes",1,0)</f>
        <v>1</v>
      </c>
      <c r="X86" s="2" cm="1">
        <f t="array" ref="X86">_xlfn.IFS(cleaned_data!AM86="Yes", 1,
cleaned_data!AM86="No", 0,
cleaned_data!AM86="Unknown", "")</f>
        <v>1</v>
      </c>
      <c r="Y86" cm="1">
        <f t="array" ref="Y86">_xlfn.IFS(cleaned_data!AK86="Solar", 1,
cleaned_data!AK86="Generator", 0.75,
cleaned_data!AK86="Eskom grid", 0.5,
TRUE, "")</f>
        <v>0.5</v>
      </c>
      <c r="Z86" cm="1">
        <f t="array" ref="Z86">_xlfn.IFS(cleaned_data!AL86="", "",
cleaned_data!AL86&lt;=8, 1,
cleaned_data!AL86&lt;=14, 0.75,
cleaned_data!AL86&lt;=21, 0.5,
cleaned_data!AL86&gt;=22, 0.25)</f>
        <v>0.5</v>
      </c>
      <c r="AA86" cm="1">
        <f t="array" ref="AA86">_xlfn.IFS(cleaned_data!AH86=0, 1,
cleaned_data!AH86=1, 0.75,
cleaned_data!AH86=2, 0.5,
cleaned_data!AH86&gt;=3, 0.25)</f>
        <v>0.25</v>
      </c>
      <c r="AB86" cm="1">
        <f t="array" ref="AB86">_xlfn.IFS(cleaned_data!AO86="", "",
cleaned_data!AO86&gt;=50, 1,
cleaned_data!AO86&gt;=30, 0.75,
cleaned_data!AO86&gt;=10, 0.5,
cleaned_data!AO86&lt;10, 0.25)</f>
        <v>1</v>
      </c>
      <c r="AC86" cm="1">
        <f t="array" ref="AC86">_xlfn.IFS(cleaned_data!AP86&gt;=50,1, cleaned_data!AP86&gt;=30,0.75, cleaned_data!AP86&gt;=10,0.5, cleaned_data!AP86&lt;10,0.25)</f>
        <v>0.75</v>
      </c>
      <c r="AD86" cm="1">
        <f t="array" ref="AD86">_xlfn.IFS(cleaned_data!AQ86&gt;=30,1,
cleaned_data!AQ86&gt;=20,0.75,
cleaned_data!AQ86&gt;=10,0.5,
cleaned_data!AQ86&lt;10,0.25)</f>
        <v>0.25</v>
      </c>
      <c r="AE86" cm="1">
        <f t="array" ref="AE86">_xlfn.IFS(cleaned_data!AR86&gt;=75,1,
cleaned_data!AR86&gt;=50,0.75,
cleaned_data!AR86&gt;=25,0.5,
cleaned_data!AR86&lt;25,0.25)</f>
        <v>0.75</v>
      </c>
      <c r="AF86">
        <f>IF(cleaned_data!AS86="Yes",1,0)</f>
        <v>0</v>
      </c>
    </row>
    <row r="87" spans="1:32" x14ac:dyDescent="0.35">
      <c r="A87" t="s">
        <v>210</v>
      </c>
      <c r="B87" t="s">
        <v>209</v>
      </c>
      <c r="C87">
        <f>IF(cleaned_data!K87="Registered",1,0)</f>
        <v>1</v>
      </c>
      <c r="D87">
        <f>IF(cleaned_data!L87="Yes",1,0)</f>
        <v>0</v>
      </c>
      <c r="E87">
        <f>IF(cleaned_data!M87="Yes",1,0)</f>
        <v>1</v>
      </c>
      <c r="F87">
        <f>IF(cleaned_data!O87="Unknown","",IF(cleaned_data!O87="Yes",1,0))</f>
        <v>0</v>
      </c>
      <c r="G87" cm="1">
        <f t="array" ref="G87">_xlfn.IFS(cleaned_data!N87="Owned",1,cleaned_data!N87="Leased",0.75,cleaned_data!N87="State land",0.5,cleaned_data!N87="Communal",0.25)</f>
        <v>0.25</v>
      </c>
      <c r="H87" s="2" cm="1">
        <f t="array" ref="H87">_xlfn.IFS(cleaned_data!G87&gt;=10,1,cleaned_data!G87&gt;=5,0.75,cleaned_data!G87&gt;=2,0.5,TRUE,0.25)</f>
        <v>0.75</v>
      </c>
      <c r="I87">
        <f>IF(cleaned_data!P87="None",0,1)</f>
        <v>1</v>
      </c>
      <c r="J87" s="2" cm="1">
        <f t="array" ref="J87">_xlfn.IFS(cleaned_data!H87&gt;=20,1,cleaned_data!H87&gt;=10,0.75,cleaned_data!H87&gt;=5,0.5,cleaned_data!H87&gt;=1,0.25,TRUE,0)</f>
        <v>0.75</v>
      </c>
      <c r="K87" cm="1">
        <f t="array" ref="K87">_xlfn.IFS(cleaned_data!Q87&gt;=100000,1,cleaned_data!Q87&gt;=50000,0.75,cleaned_data!Q87&gt;=10000,0.5,TRUE,0.25)</f>
        <v>0.75</v>
      </c>
      <c r="L87" cm="1">
        <f t="array" ref="L87">_xlfn.IFS(cleaned_data!T87="","",cleaned_data!T87&lt;=10,1,cleaned_data!T87&lt;=25,0.75,cleaned_data!T87&lt;=40,0.5, cleaned_data!T87&gt;40,0.25)</f>
        <v>0.75</v>
      </c>
      <c r="M87">
        <f>IF(cleaned_data!U87="Yes",1,0)</f>
        <v>1</v>
      </c>
      <c r="N87" cm="1">
        <f t="array" ref="N87">_xlfn.IFS(cleaned_data!V87="Unknown","",cleaned_data!V87="Yes",1,TRUE,0)</f>
        <v>0</v>
      </c>
      <c r="O87" cm="1">
        <f t="array" ref="O87">_xlfn.IFS(cleaned_data!S87&gt;=4,1,cleaned_data!S87=3,0.75,cleaned_data!S87=2,0.5,cleaned_data!S87=1,0.25,TRUE,0)</f>
        <v>0.25</v>
      </c>
      <c r="P87" cm="1">
        <f t="array" ref="P87">_xlfn.IFS(cleaned_data!AB87&gt;=50,1,cleaned_data!AB87&gt;=35,0.75,cleaned_data!AB87&gt;=20,0.5,TRUE,0.25)</f>
        <v>1</v>
      </c>
      <c r="Q87" cm="1">
        <f t="array" ref="Q87">_xlfn.IFS(cleaned_data!X87&gt;=5,1,cleaned_data!X87&gt;=3,0.75,cleaned_data!X87=2,0.5,cleaned_data!X87=1,0.25,TRUE,0)</f>
        <v>0.75</v>
      </c>
      <c r="R87">
        <f>IF(cleaned_data!Y87="Yes",1,0)</f>
        <v>1</v>
      </c>
      <c r="S87">
        <f>IF(OR(cleaned_data!AF87="GlobalG.A.P.",cleaned_data!AF87="Fairtrade",cleaned_data!AF87="Organic (CERES)"),1,
IF(OR(cleaned_data!AF87="SIZA",cleaned_data!AF87="Woolworths TNC",cleaned_data!AF87="Checkers Good Farming"),0.75,
IF(cleaned_data!AF87="No Certificate",0,
IF(cleaned_data!AF87="Unknown","",""))))</f>
        <v>0.75</v>
      </c>
      <c r="T87">
        <f>IF(cleaned_data!AG87="Yes",1,0)</f>
        <v>0</v>
      </c>
      <c r="U87">
        <f>IF(OR(cleaned_data!AD87="No Loan",cleaned_data!AD87="Settled",cleaned_data!AD87="Current"),1,
IF(cleaned_data!AD87="In Arrears",0.5,
IF(cleaned_data!AD87="Defaulted",0,
IF(cleaned_data!AD87="Unknown","",""))))</f>
        <v>1</v>
      </c>
      <c r="V87" cm="1">
        <f t="array" ref="V87">_xlfn.IFS(cleaned_data!AE87&lt;=0.2,1,
cleaned_data!AE87&lt;=0.5,0.75,
cleaned_data!AE87&lt;=1,0.5,
cleaned_data!AE87&gt;1,0.25)</f>
        <v>1</v>
      </c>
      <c r="W87">
        <f>IF(cleaned_data!AJ87="Yes",1,0)</f>
        <v>1</v>
      </c>
      <c r="X87" s="2" t="str" cm="1">
        <f t="array" ref="X87">_xlfn.IFS(cleaned_data!AM87="Yes", 1,
cleaned_data!AM87="No", 0,
cleaned_data!AM87="Unknown", "")</f>
        <v/>
      </c>
      <c r="Y87" cm="1">
        <f t="array" ref="Y87">_xlfn.IFS(cleaned_data!AK87="Solar", 1,
cleaned_data!AK87="Generator", 0.75,
cleaned_data!AK87="Eskom grid", 0.5,
TRUE, "")</f>
        <v>0.5</v>
      </c>
      <c r="Z87" cm="1">
        <f t="array" ref="Z87">_xlfn.IFS(cleaned_data!AL87="", "",
cleaned_data!AL87&lt;=8, 1,
cleaned_data!AL87&lt;=14, 0.75,
cleaned_data!AL87&lt;=21, 0.5,
cleaned_data!AL87&gt;=22, 0.25)</f>
        <v>0.75</v>
      </c>
      <c r="AA87" cm="1">
        <f t="array" ref="AA87">_xlfn.IFS(cleaned_data!AH87=0, 1,
cleaned_data!AH87=1, 0.75,
cleaned_data!AH87=2, 0.5,
cleaned_data!AH87&gt;=3, 0.25)</f>
        <v>0.75</v>
      </c>
      <c r="AB87" cm="1">
        <f t="array" ref="AB87">_xlfn.IFS(cleaned_data!AO87="", "",
cleaned_data!AO87&gt;=50, 1,
cleaned_data!AO87&gt;=30, 0.75,
cleaned_data!AO87&gt;=10, 0.5,
cleaned_data!AO87&lt;10, 0.25)</f>
        <v>1</v>
      </c>
      <c r="AC87" cm="1">
        <f t="array" ref="AC87">_xlfn.IFS(cleaned_data!AP87&gt;=50,1, cleaned_data!AP87&gt;=30,0.75, cleaned_data!AP87&gt;=10,0.5, cleaned_data!AP87&lt;10,0.25)</f>
        <v>1</v>
      </c>
      <c r="AD87" cm="1">
        <f t="array" ref="AD87">_xlfn.IFS(cleaned_data!AQ87&gt;=30,1,
cleaned_data!AQ87&gt;=20,0.75,
cleaned_data!AQ87&gt;=10,0.5,
cleaned_data!AQ87&lt;10,0.25)</f>
        <v>0.5</v>
      </c>
      <c r="AE87" cm="1">
        <f t="array" ref="AE87">_xlfn.IFS(cleaned_data!AR87&gt;=75,1,
cleaned_data!AR87&gt;=50,0.75,
cleaned_data!AR87&gt;=25,0.5,
cleaned_data!AR87&lt;25,0.25)</f>
        <v>0.75</v>
      </c>
      <c r="AF87">
        <f>IF(cleaned_data!AS87="Yes",1,0)</f>
        <v>0</v>
      </c>
    </row>
    <row r="88" spans="1:32" x14ac:dyDescent="0.35">
      <c r="A88" t="s">
        <v>208</v>
      </c>
      <c r="B88" t="s">
        <v>207</v>
      </c>
      <c r="C88">
        <f>IF(cleaned_data!K88="Registered",1,0)</f>
        <v>0</v>
      </c>
      <c r="D88">
        <f>IF(cleaned_data!L88="Yes",1,0)</f>
        <v>0</v>
      </c>
      <c r="E88">
        <f>IF(cleaned_data!M88="Yes",1,0)</f>
        <v>1</v>
      </c>
      <c r="F88">
        <f>IF(cleaned_data!O88="Unknown","",IF(cleaned_data!O88="Yes",1,0))</f>
        <v>1</v>
      </c>
      <c r="G88" cm="1">
        <f t="array" ref="G88">_xlfn.IFS(cleaned_data!N88="Owned",1,cleaned_data!N88="Leased",0.75,cleaned_data!N88="State land",0.5,cleaned_data!N88="Communal",0.25)</f>
        <v>1</v>
      </c>
      <c r="H88" s="2" cm="1">
        <f t="array" ref="H88">_xlfn.IFS(cleaned_data!G88&gt;=10,1,cleaned_data!G88&gt;=5,0.75,cleaned_data!G88&gt;=2,0.5,TRUE,0.25)</f>
        <v>1</v>
      </c>
      <c r="I88">
        <f>IF(cleaned_data!P88="None",0,1)</f>
        <v>1</v>
      </c>
      <c r="J88" s="2" cm="1">
        <f t="array" ref="J88">_xlfn.IFS(cleaned_data!H88&gt;=20,1,cleaned_data!H88&gt;=10,0.75,cleaned_data!H88&gt;=5,0.5,cleaned_data!H88&gt;=1,0.25,TRUE,0)</f>
        <v>1</v>
      </c>
      <c r="K88" cm="1">
        <f t="array" ref="K88">_xlfn.IFS(cleaned_data!Q88&gt;=100000,1,cleaned_data!Q88&gt;=50000,0.75,cleaned_data!Q88&gt;=10000,0.5,TRUE,0.25)</f>
        <v>0.75</v>
      </c>
      <c r="L88" cm="1">
        <f t="array" ref="L88">_xlfn.IFS(cleaned_data!T88="","",cleaned_data!T88&lt;=10,1,cleaned_data!T88&lt;=25,0.75,cleaned_data!T88&lt;=40,0.5, cleaned_data!T88&gt;40,0.25)</f>
        <v>0.75</v>
      </c>
      <c r="M88">
        <f>IF(cleaned_data!U88="Yes",1,0)</f>
        <v>0</v>
      </c>
      <c r="N88" cm="1">
        <f t="array" ref="N88">_xlfn.IFS(cleaned_data!V88="Unknown","",cleaned_data!V88="Yes",1,TRUE,0)</f>
        <v>1</v>
      </c>
      <c r="O88" cm="1">
        <f t="array" ref="O88">_xlfn.IFS(cleaned_data!S88&gt;=4,1,cleaned_data!S88=3,0.75,cleaned_data!S88=2,0.5,cleaned_data!S88=1,0.25,TRUE,0)</f>
        <v>0.5</v>
      </c>
      <c r="P88" cm="1">
        <f t="array" ref="P88">_xlfn.IFS(cleaned_data!AB88&gt;=50,1,cleaned_data!AB88&gt;=35,0.75,cleaned_data!AB88&gt;=20,0.5,TRUE,0.25)</f>
        <v>0.75</v>
      </c>
      <c r="Q88" cm="1">
        <f t="array" ref="Q88">_xlfn.IFS(cleaned_data!X88&gt;=5,1,cleaned_data!X88&gt;=3,0.75,cleaned_data!X88=2,0.5,cleaned_data!X88=1,0.25,TRUE,0)</f>
        <v>0.75</v>
      </c>
      <c r="R88">
        <f>IF(cleaned_data!Y88="Yes",1,0)</f>
        <v>1</v>
      </c>
      <c r="S88">
        <f>IF(OR(cleaned_data!AF88="GlobalG.A.P.",cleaned_data!AF88="Fairtrade",cleaned_data!AF88="Organic (CERES)"),1,
IF(OR(cleaned_data!AF88="SIZA",cleaned_data!AF88="Woolworths TNC",cleaned_data!AF88="Checkers Good Farming"),0.75,
IF(cleaned_data!AF88="No Certificate",0,
IF(cleaned_data!AF88="Unknown","",""))))</f>
        <v>0.75</v>
      </c>
      <c r="T88">
        <f>IF(cleaned_data!AG88="Yes",1,0)</f>
        <v>0</v>
      </c>
      <c r="U88">
        <f>IF(OR(cleaned_data!AD88="No Loan",cleaned_data!AD88="Settled",cleaned_data!AD88="Current"),1,
IF(cleaned_data!AD88="In Arrears",0.5,
IF(cleaned_data!AD88="Defaulted",0,
IF(cleaned_data!AD88="Unknown","",""))))</f>
        <v>1</v>
      </c>
      <c r="V88" cm="1">
        <f t="array" ref="V88">_xlfn.IFS(cleaned_data!AE88&lt;=0.2,1,
cleaned_data!AE88&lt;=0.5,0.75,
cleaned_data!AE88&lt;=1,0.5,
cleaned_data!AE88&gt;1,0.25)</f>
        <v>0.25</v>
      </c>
      <c r="W88">
        <f>IF(cleaned_data!AJ88="Yes",1,0)</f>
        <v>1</v>
      </c>
      <c r="X88" s="2" cm="1">
        <f t="array" ref="X88">_xlfn.IFS(cleaned_data!AM88="Yes", 1,
cleaned_data!AM88="No", 0,
cleaned_data!AM88="Unknown", "")</f>
        <v>1</v>
      </c>
      <c r="Y88" cm="1">
        <f t="array" ref="Y88">_xlfn.IFS(cleaned_data!AK88="Solar", 1,
cleaned_data!AK88="Generator", 0.75,
cleaned_data!AK88="Eskom grid", 0.5,
TRUE, "")</f>
        <v>0.5</v>
      </c>
      <c r="Z88" cm="1">
        <f t="array" ref="Z88">_xlfn.IFS(cleaned_data!AL88="", "",
cleaned_data!AL88&lt;=8, 1,
cleaned_data!AL88&lt;=14, 0.75,
cleaned_data!AL88&lt;=21, 0.5,
cleaned_data!AL88&gt;=22, 0.25)</f>
        <v>0.5</v>
      </c>
      <c r="AA88" cm="1">
        <f t="array" ref="AA88">_xlfn.IFS(cleaned_data!AH88=0, 1,
cleaned_data!AH88=1, 0.75,
cleaned_data!AH88=2, 0.5,
cleaned_data!AH88&gt;=3, 0.25)</f>
        <v>0.5</v>
      </c>
      <c r="AB88" cm="1">
        <f t="array" ref="AB88">_xlfn.IFS(cleaned_data!AO88="", "",
cleaned_data!AO88&gt;=50, 1,
cleaned_data!AO88&gt;=30, 0.75,
cleaned_data!AO88&gt;=10, 0.5,
cleaned_data!AO88&lt;10, 0.25)</f>
        <v>1</v>
      </c>
      <c r="AC88" cm="1">
        <f t="array" ref="AC88">_xlfn.IFS(cleaned_data!AP88&gt;=50,1, cleaned_data!AP88&gt;=30,0.75, cleaned_data!AP88&gt;=10,0.5, cleaned_data!AP88&lt;10,0.25)</f>
        <v>1</v>
      </c>
      <c r="AD88" cm="1">
        <f t="array" ref="AD88">_xlfn.IFS(cleaned_data!AQ88&gt;=30,1,
cleaned_data!AQ88&gt;=20,0.75,
cleaned_data!AQ88&gt;=10,0.5,
cleaned_data!AQ88&lt;10,0.25)</f>
        <v>0.75</v>
      </c>
      <c r="AE88" cm="1">
        <f t="array" ref="AE88">_xlfn.IFS(cleaned_data!AR88&gt;=75,1,
cleaned_data!AR88&gt;=50,0.75,
cleaned_data!AR88&gt;=25,0.5,
cleaned_data!AR88&lt;25,0.25)</f>
        <v>0.75</v>
      </c>
      <c r="AF88">
        <f>IF(cleaned_data!AS88="Yes",1,0)</f>
        <v>1</v>
      </c>
    </row>
    <row r="89" spans="1:32" hidden="1" x14ac:dyDescent="0.35">
      <c r="A89" t="s">
        <v>205</v>
      </c>
      <c r="B89" t="s">
        <v>70</v>
      </c>
      <c r="C89">
        <f>IF(cleaned_data!K89="Registered",1,0)</f>
        <v>1</v>
      </c>
      <c r="D89">
        <f>IF(cleaned_data!L89="Yes",1,0)</f>
        <v>0</v>
      </c>
      <c r="E89">
        <f>IF(cleaned_data!M89="Yes",1,0)</f>
        <v>0</v>
      </c>
      <c r="F89">
        <f>IF(cleaned_data!O89="Unknown","",IF(cleaned_data!O89="Yes",1,0))</f>
        <v>0</v>
      </c>
      <c r="G89" cm="1">
        <f t="array" ref="G89">_xlfn.IFS(cleaned_data!N89="Owned",1,cleaned_data!N89="Leased",0.75,cleaned_data!N89="State land",0.5,cleaned_data!N89="Communal",0.25)</f>
        <v>0.5</v>
      </c>
      <c r="H89" s="2" cm="1">
        <f t="array" ref="H89">_xlfn.IFS(cleaned_data!G89&gt;=10,1,cleaned_data!G89&gt;=5,0.75,cleaned_data!G89&gt;=2,0.5,TRUE,0.25)</f>
        <v>0.75</v>
      </c>
      <c r="I89">
        <f>IF(cleaned_data!P89="None",0,1)</f>
        <v>1</v>
      </c>
      <c r="J89" s="2" cm="1">
        <f t="array" ref="J89">_xlfn.IFS(cleaned_data!H89&gt;=20,1,cleaned_data!H89&gt;=10,0.75,cleaned_data!H89&gt;=5,0.5,cleaned_data!H89&gt;=1,0.25,TRUE,0)</f>
        <v>0</v>
      </c>
      <c r="K89" cm="1">
        <f t="array" ref="K89">_xlfn.IFS(cleaned_data!Q89&gt;=100000,1,cleaned_data!Q89&gt;=50000,0.75,cleaned_data!Q89&gt;=10000,0.5,TRUE,0.25)</f>
        <v>1</v>
      </c>
      <c r="L89" cm="1">
        <f t="array" ref="L89">_xlfn.IFS(cleaned_data!T89="","",cleaned_data!T89&lt;=10,1,cleaned_data!T89&lt;=25,0.75,cleaned_data!T89&lt;=40,0.5, cleaned_data!T89&gt;40,0.25)</f>
        <v>0.75</v>
      </c>
      <c r="M89">
        <f>IF(cleaned_data!U89="Yes",1,0)</f>
        <v>1</v>
      </c>
      <c r="N89" cm="1">
        <f t="array" ref="N89">_xlfn.IFS(cleaned_data!V89="Unknown","",cleaned_data!V89="Yes",1,TRUE,0)</f>
        <v>0</v>
      </c>
      <c r="O89" cm="1">
        <f t="array" ref="O89">_xlfn.IFS(cleaned_data!S89&gt;=4,1,cleaned_data!S89=3,0.75,cleaned_data!S89=2,0.5,cleaned_data!S89=1,0.25,TRUE,0)</f>
        <v>0.75</v>
      </c>
      <c r="P89" cm="1">
        <f t="array" ref="P89">_xlfn.IFS(cleaned_data!AB89&gt;=50,1,cleaned_data!AB89&gt;=35,0.75,cleaned_data!AB89&gt;=20,0.5,TRUE,0.25)</f>
        <v>0.75</v>
      </c>
      <c r="Q89" cm="1">
        <f t="array" ref="Q89">_xlfn.IFS(cleaned_data!X89&gt;=5,1,cleaned_data!X89&gt;=3,0.75,cleaned_data!X89=2,0.5,cleaned_data!X89=1,0.25,TRUE,0)</f>
        <v>0.75</v>
      </c>
      <c r="R89">
        <f>IF(cleaned_data!Y89="Yes",1,0)</f>
        <v>1</v>
      </c>
      <c r="S89">
        <f>IF(OR(cleaned_data!AF89="GlobalG.A.P.",cleaned_data!AF89="Fairtrade",cleaned_data!AF89="Organic (CERES)"),1,
IF(OR(cleaned_data!AF89="SIZA",cleaned_data!AF89="Woolworths TNC",cleaned_data!AF89="Checkers Good Farming"),0.75,
IF(cleaned_data!AF89="No Certificate",0,
IF(cleaned_data!AF89="Unknown","",""))))</f>
        <v>0</v>
      </c>
      <c r="T89">
        <f>IF(cleaned_data!AG89="Yes",1,0)</f>
        <v>0</v>
      </c>
      <c r="U89">
        <f>IF(OR(cleaned_data!AD89="No Loan",cleaned_data!AD89="Settled",cleaned_data!AD89="Current"),1,
IF(cleaned_data!AD89="In Arrears",0.5,
IF(cleaned_data!AD89="Defaulted",0,
IF(cleaned_data!AD89="Unknown","",""))))</f>
        <v>1</v>
      </c>
      <c r="V89" cm="1">
        <f t="array" ref="V89">_xlfn.IFS(cleaned_data!AE89&lt;=0.2,1,
cleaned_data!AE89&lt;=0.5,0.75,
cleaned_data!AE89&lt;=1,0.5,
cleaned_data!AE89&gt;1,0.25)</f>
        <v>0.75</v>
      </c>
      <c r="W89">
        <f>IF(cleaned_data!AJ89="Yes",1,0)</f>
        <v>1</v>
      </c>
      <c r="X89" s="2" cm="1">
        <f t="array" ref="X89">_xlfn.IFS(cleaned_data!AM89="Yes", 1,
cleaned_data!AM89="No", 0,
cleaned_data!AM89="Unknown", "")</f>
        <v>0</v>
      </c>
      <c r="Y89" cm="1">
        <f t="array" ref="Y89">_xlfn.IFS(cleaned_data!AK89="Solar", 1,
cleaned_data!AK89="Generator", 0.75,
cleaned_data!AK89="Eskom grid", 0.5,
TRUE, "")</f>
        <v>0.5</v>
      </c>
      <c r="Z89" cm="1">
        <f t="array" ref="Z89">_xlfn.IFS(cleaned_data!AL89="", "",
cleaned_data!AL89&lt;=8, 1,
cleaned_data!AL89&lt;=14, 0.75,
cleaned_data!AL89&lt;=21, 0.5,
cleaned_data!AL89&gt;=22, 0.25)</f>
        <v>0.25</v>
      </c>
      <c r="AA89" cm="1">
        <f t="array" ref="AA89">_xlfn.IFS(cleaned_data!AH89=0, 1,
cleaned_data!AH89=1, 0.75,
cleaned_data!AH89=2, 0.5,
cleaned_data!AH89&gt;=3, 0.25)</f>
        <v>0.75</v>
      </c>
      <c r="AB89" cm="1">
        <f t="array" ref="AB89">_xlfn.IFS(cleaned_data!AO89="", "",
cleaned_data!AO89&gt;=50, 1,
cleaned_data!AO89&gt;=30, 0.75,
cleaned_data!AO89&gt;=10, 0.5,
cleaned_data!AO89&lt;10, 0.25)</f>
        <v>0.75</v>
      </c>
      <c r="AC89" cm="1">
        <f t="array" ref="AC89">_xlfn.IFS(cleaned_data!AP89&gt;=50,1, cleaned_data!AP89&gt;=30,0.75, cleaned_data!AP89&gt;=10,0.5, cleaned_data!AP89&lt;10,0.25)</f>
        <v>0.75</v>
      </c>
      <c r="AD89" cm="1">
        <f t="array" ref="AD89">_xlfn.IFS(cleaned_data!AQ89&gt;=30,1,
cleaned_data!AQ89&gt;=20,0.75,
cleaned_data!AQ89&gt;=10,0.5,
cleaned_data!AQ89&lt;10,0.25)</f>
        <v>0.5</v>
      </c>
      <c r="AE89" cm="1">
        <f t="array" ref="AE89">_xlfn.IFS(cleaned_data!AR89&gt;=75,1,
cleaned_data!AR89&gt;=50,0.75,
cleaned_data!AR89&gt;=25,0.5,
cleaned_data!AR89&lt;25,0.25)</f>
        <v>0.75</v>
      </c>
      <c r="AF89">
        <f>IF(cleaned_data!AS89="Yes",1,0)</f>
        <v>0</v>
      </c>
    </row>
    <row r="90" spans="1:32" hidden="1" x14ac:dyDescent="0.35">
      <c r="A90" t="s">
        <v>201</v>
      </c>
      <c r="B90" t="s">
        <v>200</v>
      </c>
      <c r="C90">
        <f>IF(cleaned_data!K90="Registered",1,0)</f>
        <v>0</v>
      </c>
      <c r="D90">
        <f>IF(cleaned_data!L90="Yes",1,0)</f>
        <v>1</v>
      </c>
      <c r="E90">
        <f>IF(cleaned_data!M90="Yes",1,0)</f>
        <v>0</v>
      </c>
      <c r="F90">
        <f>IF(cleaned_data!O90="Unknown","",IF(cleaned_data!O90="Yes",1,0))</f>
        <v>1</v>
      </c>
      <c r="G90" cm="1">
        <f t="array" ref="G90">_xlfn.IFS(cleaned_data!N90="Owned",1,cleaned_data!N90="Leased",0.75,cleaned_data!N90="State land",0.5,cleaned_data!N90="Communal",0.25)</f>
        <v>1</v>
      </c>
      <c r="H90" s="2" cm="1">
        <f t="array" ref="H90">_xlfn.IFS(cleaned_data!G90&gt;=10,1,cleaned_data!G90&gt;=5,0.75,cleaned_data!G90&gt;=2,0.5,TRUE,0.25)</f>
        <v>1</v>
      </c>
      <c r="I90">
        <f>IF(cleaned_data!P90="None",0,1)</f>
        <v>1</v>
      </c>
      <c r="J90" s="2" cm="1">
        <f t="array" ref="J90">_xlfn.IFS(cleaned_data!H90&gt;=20,1,cleaned_data!H90&gt;=10,0.75,cleaned_data!H90&gt;=5,0.5,cleaned_data!H90&gt;=1,0.25,TRUE,0)</f>
        <v>1</v>
      </c>
      <c r="K90" cm="1">
        <f t="array" ref="K90">_xlfn.IFS(cleaned_data!Q90&gt;=100000,1,cleaned_data!Q90&gt;=50000,0.75,cleaned_data!Q90&gt;=10000,0.5,TRUE,0.25)</f>
        <v>0.75</v>
      </c>
      <c r="L90" cm="1">
        <f t="array" ref="L90">_xlfn.IFS(cleaned_data!T90="","",cleaned_data!T90&lt;=10,1,cleaned_data!T90&lt;=25,0.75,cleaned_data!T90&lt;=40,0.5, cleaned_data!T90&gt;40,0.25)</f>
        <v>0.75</v>
      </c>
      <c r="M90">
        <f>IF(cleaned_data!U90="Yes",1,0)</f>
        <v>0</v>
      </c>
      <c r="N90" t="str" cm="1">
        <f t="array" ref="N90">_xlfn.IFS(cleaned_data!V90="Unknown","",cleaned_data!V90="Yes",1,TRUE,0)</f>
        <v/>
      </c>
      <c r="O90" cm="1">
        <f t="array" ref="O90">_xlfn.IFS(cleaned_data!S90&gt;=4,1,cleaned_data!S90=3,0.75,cleaned_data!S90=2,0.5,cleaned_data!S90=1,0.25,TRUE,0)</f>
        <v>1</v>
      </c>
      <c r="P90" cm="1">
        <f t="array" ref="P90">_xlfn.IFS(cleaned_data!AB90&gt;=50,1,cleaned_data!AB90&gt;=35,0.75,cleaned_data!AB90&gt;=20,0.5,TRUE,0.25)</f>
        <v>0.75</v>
      </c>
      <c r="Q90" cm="1">
        <f t="array" ref="Q90">_xlfn.IFS(cleaned_data!X90&gt;=5,1,cleaned_data!X90&gt;=3,0.75,cleaned_data!X90=2,0.5,cleaned_data!X90=1,0.25,TRUE,0)</f>
        <v>0.75</v>
      </c>
      <c r="R90">
        <f>IF(cleaned_data!Y90="Yes",1,0)</f>
        <v>0</v>
      </c>
      <c r="S90">
        <f>IF(OR(cleaned_data!AF90="GlobalG.A.P.",cleaned_data!AF90="Fairtrade",cleaned_data!AF90="Organic (CERES)"),1,
IF(OR(cleaned_data!AF90="SIZA",cleaned_data!AF90="Woolworths TNC",cleaned_data!AF90="Checkers Good Farming"),0.75,
IF(cleaned_data!AF90="No Certificate",0,
IF(cleaned_data!AF90="Unknown","",""))))</f>
        <v>0</v>
      </c>
      <c r="T90">
        <f>IF(cleaned_data!AG90="Yes",1,0)</f>
        <v>0</v>
      </c>
      <c r="U90">
        <f>IF(OR(cleaned_data!AD90="No Loan",cleaned_data!AD90="Settled",cleaned_data!AD90="Current"),1,
IF(cleaned_data!AD90="In Arrears",0.5,
IF(cleaned_data!AD90="Defaulted",0,
IF(cleaned_data!AD90="Unknown","",""))))</f>
        <v>1</v>
      </c>
      <c r="V90" cm="1">
        <f t="array" ref="V90">_xlfn.IFS(cleaned_data!AE90&lt;=0.2,1,
cleaned_data!AE90&lt;=0.5,0.75,
cleaned_data!AE90&lt;=1,0.5,
cleaned_data!AE90&gt;1,0.25)</f>
        <v>0.75</v>
      </c>
      <c r="W90">
        <f>IF(cleaned_data!AJ90="Yes",1,0)</f>
        <v>1</v>
      </c>
      <c r="X90" s="2" cm="1">
        <f t="array" ref="X90">_xlfn.IFS(cleaned_data!AM90="Yes", 1,
cleaned_data!AM90="No", 0,
cleaned_data!AM90="Unknown", "")</f>
        <v>0</v>
      </c>
      <c r="Y90" cm="1">
        <f t="array" ref="Y90">_xlfn.IFS(cleaned_data!AK90="Solar", 1,
cleaned_data!AK90="Generator", 0.75,
cleaned_data!AK90="Eskom grid", 0.5,
TRUE, "")</f>
        <v>0.5</v>
      </c>
      <c r="Z90" cm="1">
        <f t="array" ref="Z90">_xlfn.IFS(cleaned_data!AL90="", "",
cleaned_data!AL90&lt;=8, 1,
cleaned_data!AL90&lt;=14, 0.75,
cleaned_data!AL90&lt;=21, 0.5,
cleaned_data!AL90&gt;=22, 0.25)</f>
        <v>0.5</v>
      </c>
      <c r="AA90" cm="1">
        <f t="array" ref="AA90">_xlfn.IFS(cleaned_data!AH90=0, 1,
cleaned_data!AH90=1, 0.75,
cleaned_data!AH90=2, 0.5,
cleaned_data!AH90&gt;=3, 0.25)</f>
        <v>0.25</v>
      </c>
      <c r="AB90" t="str" cm="1">
        <f t="array" ref="AB90">_xlfn.IFS(cleaned_data!AO90="", "",
cleaned_data!AO90&gt;=50, 1,
cleaned_data!AO90&gt;=30, 0.75,
cleaned_data!AO90&gt;=10, 0.5,
cleaned_data!AO90&lt;10, 0.25)</f>
        <v/>
      </c>
      <c r="AC90" cm="1">
        <f t="array" ref="AC90">_xlfn.IFS(cleaned_data!AP90&gt;=50,1, cleaned_data!AP90&gt;=30,0.75, cleaned_data!AP90&gt;=10,0.5, cleaned_data!AP90&lt;10,0.25)</f>
        <v>1</v>
      </c>
      <c r="AD90" cm="1">
        <f t="array" ref="AD90">_xlfn.IFS(cleaned_data!AQ90&gt;=30,1,
cleaned_data!AQ90&gt;=20,0.75,
cleaned_data!AQ90&gt;=10,0.5,
cleaned_data!AQ90&lt;10,0.25)</f>
        <v>0.75</v>
      </c>
      <c r="AE90" cm="1">
        <f t="array" ref="AE90">_xlfn.IFS(cleaned_data!AR90&gt;=75,1,
cleaned_data!AR90&gt;=50,0.75,
cleaned_data!AR90&gt;=25,0.5,
cleaned_data!AR90&lt;25,0.25)</f>
        <v>1</v>
      </c>
      <c r="AF90">
        <f>IF(cleaned_data!AS90="Yes",1,0)</f>
        <v>0</v>
      </c>
    </row>
    <row r="91" spans="1:32" x14ac:dyDescent="0.35">
      <c r="A91" t="s">
        <v>199</v>
      </c>
      <c r="B91" t="s">
        <v>198</v>
      </c>
      <c r="C91">
        <f>IF(cleaned_data!K91="Registered",1,0)</f>
        <v>1</v>
      </c>
      <c r="D91">
        <f>IF(cleaned_data!L91="Yes",1,0)</f>
        <v>1</v>
      </c>
      <c r="E91">
        <f>IF(cleaned_data!M91="Yes",1,0)</f>
        <v>1</v>
      </c>
      <c r="F91">
        <f>IF(cleaned_data!O91="Unknown","",IF(cleaned_data!O91="Yes",1,0))</f>
        <v>1</v>
      </c>
      <c r="G91" cm="1">
        <f t="array" ref="G91">_xlfn.IFS(cleaned_data!N91="Owned",1,cleaned_data!N91="Leased",0.75,cleaned_data!N91="State land",0.5,cleaned_data!N91="Communal",0.25)</f>
        <v>1</v>
      </c>
      <c r="H91" s="2" cm="1">
        <f t="array" ref="H91">_xlfn.IFS(cleaned_data!G91&gt;=10,1,cleaned_data!G91&gt;=5,0.75,cleaned_data!G91&gt;=2,0.5,TRUE,0.25)</f>
        <v>0.5</v>
      </c>
      <c r="I91">
        <f>IF(cleaned_data!P91="None",0,1)</f>
        <v>0</v>
      </c>
      <c r="J91" s="2" cm="1">
        <f t="array" ref="J91">_xlfn.IFS(cleaned_data!H91&gt;=20,1,cleaned_data!H91&gt;=10,0.75,cleaned_data!H91&gt;=5,0.5,cleaned_data!H91&gt;=1,0.25,TRUE,0)</f>
        <v>1</v>
      </c>
      <c r="K91" cm="1">
        <f t="array" ref="K91">_xlfn.IFS(cleaned_data!Q91&gt;=100000,1,cleaned_data!Q91&gt;=50000,0.75,cleaned_data!Q91&gt;=10000,0.5,TRUE,0.25)</f>
        <v>0.75</v>
      </c>
      <c r="L91" cm="1">
        <f t="array" ref="L91">_xlfn.IFS(cleaned_data!T91="","",cleaned_data!T91&lt;=10,1,cleaned_data!T91&lt;=25,0.75,cleaned_data!T91&lt;=40,0.5, cleaned_data!T91&gt;40,0.25)</f>
        <v>0.75</v>
      </c>
      <c r="M91">
        <f>IF(cleaned_data!U91="Yes",1,0)</f>
        <v>1</v>
      </c>
      <c r="N91" t="str" cm="1">
        <f t="array" ref="N91">_xlfn.IFS(cleaned_data!V91="Unknown","",cleaned_data!V91="Yes",1,TRUE,0)</f>
        <v/>
      </c>
      <c r="O91" cm="1">
        <f t="array" ref="O91">_xlfn.IFS(cleaned_data!S91&gt;=4,1,cleaned_data!S91=3,0.75,cleaned_data!S91=2,0.5,cleaned_data!S91=1,0.25,TRUE,0)</f>
        <v>0.5</v>
      </c>
      <c r="P91" cm="1">
        <f t="array" ref="P91">_xlfn.IFS(cleaned_data!AB91&gt;=50,1,cleaned_data!AB91&gt;=35,0.75,cleaned_data!AB91&gt;=20,0.5,TRUE,0.25)</f>
        <v>0.75</v>
      </c>
      <c r="Q91" cm="1">
        <f t="array" ref="Q91">_xlfn.IFS(cleaned_data!X91&gt;=5,1,cleaned_data!X91&gt;=3,0.75,cleaned_data!X91=2,0.5,cleaned_data!X91=1,0.25,TRUE,0)</f>
        <v>0.75</v>
      </c>
      <c r="R91">
        <f>IF(cleaned_data!Y91="Yes",1,0)</f>
        <v>1</v>
      </c>
      <c r="S91" t="str">
        <f>IF(OR(cleaned_data!AF91="GlobalG.A.P.",cleaned_data!AF91="Fairtrade",cleaned_data!AF91="Organic (CERES)"),1,
IF(OR(cleaned_data!AF91="SIZA",cleaned_data!AF91="Woolworths TNC",cleaned_data!AF91="Checkers Good Farming"),0.75,
IF(cleaned_data!AF91="No Certificate",0,
IF(cleaned_data!AF91="Unknown","",""))))</f>
        <v/>
      </c>
      <c r="T91">
        <f>IF(cleaned_data!AG91="Yes",1,0)</f>
        <v>0</v>
      </c>
      <c r="U91">
        <f>IF(OR(cleaned_data!AD91="No Loan",cleaned_data!AD91="Settled",cleaned_data!AD91="Current"),1,
IF(cleaned_data!AD91="In Arrears",0.5,
IF(cleaned_data!AD91="Defaulted",0,
IF(cleaned_data!AD91="Unknown","",""))))</f>
        <v>1</v>
      </c>
      <c r="V91" cm="1">
        <f t="array" ref="V91">_xlfn.IFS(cleaned_data!AE91&lt;=0.2,1,
cleaned_data!AE91&lt;=0.5,0.75,
cleaned_data!AE91&lt;=1,0.5,
cleaned_data!AE91&gt;1,0.25)</f>
        <v>1</v>
      </c>
      <c r="W91">
        <f>IF(cleaned_data!AJ91="Yes",1,0)</f>
        <v>1</v>
      </c>
      <c r="X91" s="2" cm="1">
        <f t="array" ref="X91">_xlfn.IFS(cleaned_data!AM91="Yes", 1,
cleaned_data!AM91="No", 0,
cleaned_data!AM91="Unknown", "")</f>
        <v>0</v>
      </c>
      <c r="Y91" cm="1">
        <f t="array" ref="Y91">_xlfn.IFS(cleaned_data!AK91="Solar", 1,
cleaned_data!AK91="Generator", 0.75,
cleaned_data!AK91="Eskom grid", 0.5,
TRUE, "")</f>
        <v>0.5</v>
      </c>
      <c r="Z91" cm="1">
        <f t="array" ref="Z91">_xlfn.IFS(cleaned_data!AL91="", "",
cleaned_data!AL91&lt;=8, 1,
cleaned_data!AL91&lt;=14, 0.75,
cleaned_data!AL91&lt;=21, 0.5,
cleaned_data!AL91&gt;=22, 0.25)</f>
        <v>0.5</v>
      </c>
      <c r="AA91" cm="1">
        <f t="array" ref="AA91">_xlfn.IFS(cleaned_data!AH91=0, 1,
cleaned_data!AH91=1, 0.75,
cleaned_data!AH91=2, 0.5,
cleaned_data!AH91&gt;=3, 0.25)</f>
        <v>0.25</v>
      </c>
      <c r="AB91" cm="1">
        <f t="array" ref="AB91">_xlfn.IFS(cleaned_data!AO91="", "",
cleaned_data!AO91&gt;=50, 1,
cleaned_data!AO91&gt;=30, 0.75,
cleaned_data!AO91&gt;=10, 0.5,
cleaned_data!AO91&lt;10, 0.25)</f>
        <v>1</v>
      </c>
      <c r="AC91" cm="1">
        <f t="array" ref="AC91">_xlfn.IFS(cleaned_data!AP91&gt;=50,1, cleaned_data!AP91&gt;=30,0.75, cleaned_data!AP91&gt;=10,0.5, cleaned_data!AP91&lt;10,0.25)</f>
        <v>0.75</v>
      </c>
      <c r="AD91" cm="1">
        <f t="array" ref="AD91">_xlfn.IFS(cleaned_data!AQ91&gt;=30,1,
cleaned_data!AQ91&gt;=20,0.75,
cleaned_data!AQ91&gt;=10,0.5,
cleaned_data!AQ91&lt;10,0.25)</f>
        <v>1</v>
      </c>
      <c r="AE91" cm="1">
        <f t="array" ref="AE91">_xlfn.IFS(cleaned_data!AR91&gt;=75,1,
cleaned_data!AR91&gt;=50,0.75,
cleaned_data!AR91&gt;=25,0.5,
cleaned_data!AR91&lt;25,0.25)</f>
        <v>0.75</v>
      </c>
      <c r="AF91">
        <f>IF(cleaned_data!AS91="Yes",1,0)</f>
        <v>1</v>
      </c>
    </row>
    <row r="92" spans="1:32" x14ac:dyDescent="0.35">
      <c r="A92" t="s">
        <v>194</v>
      </c>
      <c r="B92" t="s">
        <v>193</v>
      </c>
      <c r="C92">
        <f>IF(cleaned_data!K92="Registered",1,0)</f>
        <v>1</v>
      </c>
      <c r="D92">
        <f>IF(cleaned_data!L92="Yes",1,0)</f>
        <v>0</v>
      </c>
      <c r="E92">
        <f>IF(cleaned_data!M92="Yes",1,0)</f>
        <v>1</v>
      </c>
      <c r="F92">
        <f>IF(cleaned_data!O92="Unknown","",IF(cleaned_data!O92="Yes",1,0))</f>
        <v>1</v>
      </c>
      <c r="G92" cm="1">
        <f t="array" ref="G92">_xlfn.IFS(cleaned_data!N92="Owned",1,cleaned_data!N92="Leased",0.75,cleaned_data!N92="State land",0.5,cleaned_data!N92="Communal",0.25)</f>
        <v>1</v>
      </c>
      <c r="H92" s="2" cm="1">
        <f t="array" ref="H92">_xlfn.IFS(cleaned_data!G92&gt;=10,1,cleaned_data!G92&gt;=5,0.75,cleaned_data!G92&gt;=2,0.5,TRUE,0.25)</f>
        <v>1</v>
      </c>
      <c r="I92">
        <f>IF(cleaned_data!P92="None",0,1)</f>
        <v>1</v>
      </c>
      <c r="J92" s="2" cm="1">
        <f t="array" ref="J92">_xlfn.IFS(cleaned_data!H92&gt;=20,1,cleaned_data!H92&gt;=10,0.75,cleaned_data!H92&gt;=5,0.5,cleaned_data!H92&gt;=1,0.25,TRUE,0)</f>
        <v>0.75</v>
      </c>
      <c r="K92" cm="1">
        <f t="array" ref="K92">_xlfn.IFS(cleaned_data!Q92&gt;=100000,1,cleaned_data!Q92&gt;=50000,0.75,cleaned_data!Q92&gt;=10000,0.5,TRUE,0.25)</f>
        <v>1</v>
      </c>
      <c r="L92" cm="1">
        <f t="array" ref="L92">_xlfn.IFS(cleaned_data!T92="","",cleaned_data!T92&lt;=10,1,cleaned_data!T92&lt;=25,0.75,cleaned_data!T92&lt;=40,0.5, cleaned_data!T92&gt;40,0.25)</f>
        <v>0.5</v>
      </c>
      <c r="M92">
        <f>IF(cleaned_data!U92="Yes",1,0)</f>
        <v>1</v>
      </c>
      <c r="N92" cm="1">
        <f t="array" ref="N92">_xlfn.IFS(cleaned_data!V92="Unknown","",cleaned_data!V92="Yes",1,TRUE,0)</f>
        <v>1</v>
      </c>
      <c r="O92" cm="1">
        <f t="array" ref="O92">_xlfn.IFS(cleaned_data!S92&gt;=4,1,cleaned_data!S92=3,0.75,cleaned_data!S92=2,0.5,cleaned_data!S92=1,0.25,TRUE,0)</f>
        <v>0.75</v>
      </c>
      <c r="P92" cm="1">
        <f t="array" ref="P92">_xlfn.IFS(cleaned_data!AB92&gt;=50,1,cleaned_data!AB92&gt;=35,0.75,cleaned_data!AB92&gt;=20,0.5,TRUE,0.25)</f>
        <v>0.75</v>
      </c>
      <c r="Q92" cm="1">
        <f t="array" ref="Q92">_xlfn.IFS(cleaned_data!X92&gt;=5,1,cleaned_data!X92&gt;=3,0.75,cleaned_data!X92=2,0.5,cleaned_data!X92=1,0.25,TRUE,0)</f>
        <v>0.75</v>
      </c>
      <c r="R92">
        <f>IF(cleaned_data!Y92="Yes",1,0)</f>
        <v>1</v>
      </c>
      <c r="S92">
        <f>IF(OR(cleaned_data!AF92="GlobalG.A.P.",cleaned_data!AF92="Fairtrade",cleaned_data!AF92="Organic (CERES)"),1,
IF(OR(cleaned_data!AF92="SIZA",cleaned_data!AF92="Woolworths TNC",cleaned_data!AF92="Checkers Good Farming"),0.75,
IF(cleaned_data!AF92="No Certificate",0,
IF(cleaned_data!AF92="Unknown","",""))))</f>
        <v>0.75</v>
      </c>
      <c r="T92">
        <f>IF(cleaned_data!AG92="Yes",1,0)</f>
        <v>0</v>
      </c>
      <c r="U92">
        <f>IF(OR(cleaned_data!AD92="No Loan",cleaned_data!AD92="Settled",cleaned_data!AD92="Current"),1,
IF(cleaned_data!AD92="In Arrears",0.5,
IF(cleaned_data!AD92="Defaulted",0,
IF(cleaned_data!AD92="Unknown","",""))))</f>
        <v>0</v>
      </c>
      <c r="V92" cm="1">
        <f t="array" ref="V92">_xlfn.IFS(cleaned_data!AE92&lt;=0.2,1,
cleaned_data!AE92&lt;=0.5,0.75,
cleaned_data!AE92&lt;=1,0.5,
cleaned_data!AE92&gt;1,0.25)</f>
        <v>1</v>
      </c>
      <c r="W92">
        <f>IF(cleaned_data!AJ92="Yes",1,0)</f>
        <v>1</v>
      </c>
      <c r="X92" s="2" cm="1">
        <f t="array" ref="X92">_xlfn.IFS(cleaned_data!AM92="Yes", 1,
cleaned_data!AM92="No", 0,
cleaned_data!AM92="Unknown", "")</f>
        <v>0</v>
      </c>
      <c r="Y92" cm="1">
        <f t="array" ref="Y92">_xlfn.IFS(cleaned_data!AK92="Solar", 1,
cleaned_data!AK92="Generator", 0.75,
cleaned_data!AK92="Eskom grid", 0.5,
TRUE, "")</f>
        <v>0.5</v>
      </c>
      <c r="Z92" cm="1">
        <f t="array" ref="Z92">_xlfn.IFS(cleaned_data!AL92="", "",
cleaned_data!AL92&lt;=8, 1,
cleaned_data!AL92&lt;=14, 0.75,
cleaned_data!AL92&lt;=21, 0.5,
cleaned_data!AL92&gt;=22, 0.25)</f>
        <v>0.5</v>
      </c>
      <c r="AA92" cm="1">
        <f t="array" ref="AA92">_xlfn.IFS(cleaned_data!AH92=0, 1,
cleaned_data!AH92=1, 0.75,
cleaned_data!AH92=2, 0.5,
cleaned_data!AH92&gt;=3, 0.25)</f>
        <v>0.75</v>
      </c>
      <c r="AB92" cm="1">
        <f t="array" ref="AB92">_xlfn.IFS(cleaned_data!AO92="", "",
cleaned_data!AO92&gt;=50, 1,
cleaned_data!AO92&gt;=30, 0.75,
cleaned_data!AO92&gt;=10, 0.5,
cleaned_data!AO92&lt;10, 0.25)</f>
        <v>1</v>
      </c>
      <c r="AC92" cm="1">
        <f t="array" ref="AC92">_xlfn.IFS(cleaned_data!AP92&gt;=50,1, cleaned_data!AP92&gt;=30,0.75, cleaned_data!AP92&gt;=10,0.5, cleaned_data!AP92&lt;10,0.25)</f>
        <v>0.75</v>
      </c>
      <c r="AD92" cm="1">
        <f t="array" ref="AD92">_xlfn.IFS(cleaned_data!AQ92&gt;=30,1,
cleaned_data!AQ92&gt;=20,0.75,
cleaned_data!AQ92&gt;=10,0.5,
cleaned_data!AQ92&lt;10,0.25)</f>
        <v>1</v>
      </c>
      <c r="AE92" cm="1">
        <f t="array" ref="AE92">_xlfn.IFS(cleaned_data!AR92&gt;=75,1,
cleaned_data!AR92&gt;=50,0.75,
cleaned_data!AR92&gt;=25,0.5,
cleaned_data!AR92&lt;25,0.25)</f>
        <v>1</v>
      </c>
      <c r="AF92">
        <f>IF(cleaned_data!AS92="Yes",1,0)</f>
        <v>1</v>
      </c>
    </row>
    <row r="93" spans="1:32" ht="21" customHeight="1" x14ac:dyDescent="0.35">
      <c r="A93" t="s">
        <v>192</v>
      </c>
      <c r="B93" t="s">
        <v>191</v>
      </c>
      <c r="C93">
        <f>IF(cleaned_data!K93="Registered",1,0)</f>
        <v>1</v>
      </c>
      <c r="D93">
        <f>IF(cleaned_data!L93="Yes",1,0)</f>
        <v>1</v>
      </c>
      <c r="E93">
        <f>IF(cleaned_data!M93="Yes",1,0)</f>
        <v>0</v>
      </c>
      <c r="F93">
        <f>IF(cleaned_data!O93="Unknown","",IF(cleaned_data!O93="Yes",1,0))</f>
        <v>1</v>
      </c>
      <c r="G93" cm="1">
        <f t="array" ref="G93">_xlfn.IFS(cleaned_data!N93="Owned",1,cleaned_data!N93="Leased",0.75,cleaned_data!N93="State land",0.5,cleaned_data!N93="Communal",0.25)</f>
        <v>0.75</v>
      </c>
      <c r="H93" s="2" cm="1">
        <f t="array" ref="H93">_xlfn.IFS(cleaned_data!G93&gt;=10,1,cleaned_data!G93&gt;=5,0.75,cleaned_data!G93&gt;=2,0.5,TRUE,0.25)</f>
        <v>1</v>
      </c>
      <c r="I93">
        <f>IF(cleaned_data!P93="None",0,1)</f>
        <v>0</v>
      </c>
      <c r="J93" s="2" cm="1">
        <f t="array" ref="J93">_xlfn.IFS(cleaned_data!H93&gt;=20,1,cleaned_data!H93&gt;=10,0.75,cleaned_data!H93&gt;=5,0.5,cleaned_data!H93&gt;=1,0.25,TRUE,0)</f>
        <v>0.75</v>
      </c>
      <c r="K93" cm="1">
        <f t="array" ref="K93">_xlfn.IFS(cleaned_data!Q93&gt;=100000,1,cleaned_data!Q93&gt;=50000,0.75,cleaned_data!Q93&gt;=10000,0.5,TRUE,0.25)</f>
        <v>0.75</v>
      </c>
      <c r="L93" cm="1">
        <f t="array" ref="L93">_xlfn.IFS(cleaned_data!T93="","",cleaned_data!T93&lt;=10,1,cleaned_data!T93&lt;=25,0.75,cleaned_data!T93&lt;=40,0.5, cleaned_data!T93&gt;40,0.25)</f>
        <v>0.5</v>
      </c>
      <c r="M93">
        <f>IF(cleaned_data!U93="Yes",1,0)</f>
        <v>1</v>
      </c>
      <c r="N93" cm="1">
        <f t="array" ref="N93">_xlfn.IFS(cleaned_data!V93="Unknown","",cleaned_data!V93="Yes",1,TRUE,0)</f>
        <v>0</v>
      </c>
      <c r="O93" cm="1">
        <f t="array" ref="O93">_xlfn.IFS(cleaned_data!S93&gt;=4,1,cleaned_data!S93=3,0.75,cleaned_data!S93=2,0.5,cleaned_data!S93=1,0.25,TRUE,0)</f>
        <v>0.75</v>
      </c>
      <c r="P93" cm="1">
        <f t="array" ref="P93">_xlfn.IFS(cleaned_data!AB93&gt;=50,1,cleaned_data!AB93&gt;=35,0.75,cleaned_data!AB93&gt;=20,0.5,TRUE,0.25)</f>
        <v>1</v>
      </c>
      <c r="Q93" cm="1">
        <f t="array" ref="Q93">_xlfn.IFS(cleaned_data!X93&gt;=5,1,cleaned_data!X93&gt;=3,0.75,cleaned_data!X93=2,0.5,cleaned_data!X93=1,0.25,TRUE,0)</f>
        <v>0.75</v>
      </c>
      <c r="R93">
        <f>IF(cleaned_data!Y93="Yes",1,0)</f>
        <v>1</v>
      </c>
      <c r="S93">
        <f>IF(OR(cleaned_data!AF93="GlobalG.A.P.",cleaned_data!AF93="Fairtrade",cleaned_data!AF93="Organic (CERES)"),1,
IF(OR(cleaned_data!AF93="SIZA",cleaned_data!AF93="Woolworths TNC",cleaned_data!AF93="Checkers Good Farming"),0.75,
IF(cleaned_data!AF93="No Certificate",0,
IF(cleaned_data!AF93="Unknown","",""))))</f>
        <v>0.75</v>
      </c>
      <c r="T93">
        <f>IF(cleaned_data!AG93="Yes",1,0)</f>
        <v>0</v>
      </c>
      <c r="U93">
        <f>IF(OR(cleaned_data!AD93="No Loan",cleaned_data!AD93="Settled",cleaned_data!AD93="Current"),1,
IF(cleaned_data!AD93="In Arrears",0.5,
IF(cleaned_data!AD93="Defaulted",0,
IF(cleaned_data!AD93="Unknown","",""))))</f>
        <v>1</v>
      </c>
      <c r="V93" cm="1">
        <f t="array" ref="V93">_xlfn.IFS(cleaned_data!AE93&lt;=0.2,1,
cleaned_data!AE93&lt;=0.5,0.75,
cleaned_data!AE93&lt;=1,0.5,
cleaned_data!AE93&gt;1,0.25)</f>
        <v>1</v>
      </c>
      <c r="W93">
        <f>IF(cleaned_data!AJ93="Yes",1,0)</f>
        <v>0</v>
      </c>
      <c r="X93" s="2" cm="1">
        <f t="array" ref="X93">_xlfn.IFS(cleaned_data!AM93="Yes", 1,
cleaned_data!AM93="No", 0,
cleaned_data!AM93="Unknown", "")</f>
        <v>0</v>
      </c>
      <c r="Y93" cm="1">
        <f t="array" ref="Y93">_xlfn.IFS(cleaned_data!AK93="Solar", 1,
cleaned_data!AK93="Generator", 0.75,
cleaned_data!AK93="Eskom grid", 0.5,
TRUE, "")</f>
        <v>0.5</v>
      </c>
      <c r="Z93" cm="1">
        <f t="array" ref="Z93">_xlfn.IFS(cleaned_data!AL93="", "",
cleaned_data!AL93&lt;=8, 1,
cleaned_data!AL93&lt;=14, 0.75,
cleaned_data!AL93&lt;=21, 0.5,
cleaned_data!AL93&gt;=22, 0.25)</f>
        <v>0.5</v>
      </c>
      <c r="AA93" cm="1">
        <f t="array" ref="AA93">_xlfn.IFS(cleaned_data!AH93=0, 1,
cleaned_data!AH93=1, 0.75,
cleaned_data!AH93=2, 0.5,
cleaned_data!AH93&gt;=3, 0.25)</f>
        <v>0.25</v>
      </c>
      <c r="AB93" cm="1">
        <f t="array" ref="AB93">_xlfn.IFS(cleaned_data!AO93="", "",
cleaned_data!AO93&gt;=50, 1,
cleaned_data!AO93&gt;=30, 0.75,
cleaned_data!AO93&gt;=10, 0.5,
cleaned_data!AO93&lt;10, 0.25)</f>
        <v>0.5</v>
      </c>
      <c r="AC93" cm="1">
        <f t="array" ref="AC93">_xlfn.IFS(cleaned_data!AP93&gt;=50,1, cleaned_data!AP93&gt;=30,0.75, cleaned_data!AP93&gt;=10,0.5, cleaned_data!AP93&lt;10,0.25)</f>
        <v>1</v>
      </c>
      <c r="AD93" cm="1">
        <f t="array" ref="AD93">_xlfn.IFS(cleaned_data!AQ93&gt;=30,1,
cleaned_data!AQ93&gt;=20,0.75,
cleaned_data!AQ93&gt;=10,0.5,
cleaned_data!AQ93&lt;10,0.25)</f>
        <v>0.5</v>
      </c>
      <c r="AE93" cm="1">
        <f t="array" ref="AE93">_xlfn.IFS(cleaned_data!AR93&gt;=75,1,
cleaned_data!AR93&gt;=50,0.75,
cleaned_data!AR93&gt;=25,0.5,
cleaned_data!AR93&lt;25,0.25)</f>
        <v>0.75</v>
      </c>
      <c r="AF93">
        <f>IF(cleaned_data!AS93="Yes",1,0)</f>
        <v>0</v>
      </c>
    </row>
    <row r="94" spans="1:32" x14ac:dyDescent="0.35">
      <c r="A94" t="s">
        <v>189</v>
      </c>
      <c r="B94" t="s">
        <v>188</v>
      </c>
      <c r="C94">
        <f>IF(cleaned_data!K94="Registered",1,0)</f>
        <v>1</v>
      </c>
      <c r="D94">
        <f>IF(cleaned_data!L94="Yes",1,0)</f>
        <v>0</v>
      </c>
      <c r="E94">
        <f>IF(cleaned_data!M94="Yes",1,0)</f>
        <v>1</v>
      </c>
      <c r="F94">
        <f>IF(cleaned_data!O94="Unknown","",IF(cleaned_data!O94="Yes",1,0))</f>
        <v>1</v>
      </c>
      <c r="G94" cm="1">
        <f t="array" ref="G94">_xlfn.IFS(cleaned_data!N94="Owned",1,cleaned_data!N94="Leased",0.75,cleaned_data!N94="State land",0.5,cleaned_data!N94="Communal",0.25)</f>
        <v>1</v>
      </c>
      <c r="H94" s="2" cm="1">
        <f t="array" ref="H94">_xlfn.IFS(cleaned_data!G94&gt;=10,1,cleaned_data!G94&gt;=5,0.75,cleaned_data!G94&gt;=2,0.5,TRUE,0.25)</f>
        <v>1</v>
      </c>
      <c r="I94">
        <f>IF(cleaned_data!P94="None",0,1)</f>
        <v>1</v>
      </c>
      <c r="J94" s="2" cm="1">
        <f t="array" ref="J94">_xlfn.IFS(cleaned_data!H94&gt;=20,1,cleaned_data!H94&gt;=10,0.75,cleaned_data!H94&gt;=5,0.5,cleaned_data!H94&gt;=1,0.25,TRUE,0)</f>
        <v>1</v>
      </c>
      <c r="K94" cm="1">
        <f t="array" ref="K94">_xlfn.IFS(cleaned_data!Q94&gt;=100000,1,cleaned_data!Q94&gt;=50000,0.75,cleaned_data!Q94&gt;=10000,0.5,TRUE,0.25)</f>
        <v>0.5</v>
      </c>
      <c r="L94" cm="1">
        <f t="array" ref="L94">_xlfn.IFS(cleaned_data!T94="","",cleaned_data!T94&lt;=10,1,cleaned_data!T94&lt;=25,0.75,cleaned_data!T94&lt;=40,0.5, cleaned_data!T94&gt;40,0.25)</f>
        <v>0.5</v>
      </c>
      <c r="M94">
        <f>IF(cleaned_data!U94="Yes",1,0)</f>
        <v>1</v>
      </c>
      <c r="N94" t="str" cm="1">
        <f t="array" ref="N94">_xlfn.IFS(cleaned_data!V94="Unknown","",cleaned_data!V94="Yes",1,TRUE,0)</f>
        <v/>
      </c>
      <c r="O94" cm="1">
        <f t="array" ref="O94">_xlfn.IFS(cleaned_data!S94&gt;=4,1,cleaned_data!S94=3,0.75,cleaned_data!S94=2,0.5,cleaned_data!S94=1,0.25,TRUE,0)</f>
        <v>0.25</v>
      </c>
      <c r="P94" cm="1">
        <f t="array" ref="P94">_xlfn.IFS(cleaned_data!AB94&gt;=50,1,cleaned_data!AB94&gt;=35,0.75,cleaned_data!AB94&gt;=20,0.5,TRUE,0.25)</f>
        <v>1</v>
      </c>
      <c r="Q94" cm="1">
        <f t="array" ref="Q94">_xlfn.IFS(cleaned_data!X94&gt;=5,1,cleaned_data!X94&gt;=3,0.75,cleaned_data!X94=2,0.5,cleaned_data!X94=1,0.25,TRUE,0)</f>
        <v>0.75</v>
      </c>
      <c r="R94">
        <f>IF(cleaned_data!Y94="Yes",1,0)</f>
        <v>0</v>
      </c>
      <c r="S94">
        <f>IF(OR(cleaned_data!AF94="GlobalG.A.P.",cleaned_data!AF94="Fairtrade",cleaned_data!AF94="Organic (CERES)"),1,
IF(OR(cleaned_data!AF94="SIZA",cleaned_data!AF94="Woolworths TNC",cleaned_data!AF94="Checkers Good Farming"),0.75,
IF(cleaned_data!AF94="No Certificate",0,
IF(cleaned_data!AF94="Unknown","",""))))</f>
        <v>0.75</v>
      </c>
      <c r="T94">
        <f>IF(cleaned_data!AG94="Yes",1,0)</f>
        <v>0</v>
      </c>
      <c r="U94">
        <f>IF(OR(cleaned_data!AD94="No Loan",cleaned_data!AD94="Settled",cleaned_data!AD94="Current"),1,
IF(cleaned_data!AD94="In Arrears",0.5,
IF(cleaned_data!AD94="Defaulted",0,
IF(cleaned_data!AD94="Unknown","",""))))</f>
        <v>1</v>
      </c>
      <c r="V94" cm="1">
        <f t="array" ref="V94">_xlfn.IFS(cleaned_data!AE94&lt;=0.2,1,
cleaned_data!AE94&lt;=0.5,0.75,
cleaned_data!AE94&lt;=1,0.5,
cleaned_data!AE94&gt;1,0.25)</f>
        <v>1</v>
      </c>
      <c r="W94">
        <f>IF(cleaned_data!AJ94="Yes",1,0)</f>
        <v>0</v>
      </c>
      <c r="X94" s="2" cm="1">
        <f t="array" ref="X94">_xlfn.IFS(cleaned_data!AM94="Yes", 1,
cleaned_data!AM94="No", 0,
cleaned_data!AM94="Unknown", "")</f>
        <v>0</v>
      </c>
      <c r="Y94" cm="1">
        <f t="array" ref="Y94">_xlfn.IFS(cleaned_data!AK94="Solar", 1,
cleaned_data!AK94="Generator", 0.75,
cleaned_data!AK94="Eskom grid", 0.5,
TRUE, "")</f>
        <v>0.5</v>
      </c>
      <c r="Z94" cm="1">
        <f t="array" ref="Z94">_xlfn.IFS(cleaned_data!AL94="", "",
cleaned_data!AL94&lt;=8, 1,
cleaned_data!AL94&lt;=14, 0.75,
cleaned_data!AL94&lt;=21, 0.5,
cleaned_data!AL94&gt;=22, 0.25)</f>
        <v>0.5</v>
      </c>
      <c r="AA94" cm="1">
        <f t="array" ref="AA94">_xlfn.IFS(cleaned_data!AH94=0, 1,
cleaned_data!AH94=1, 0.75,
cleaned_data!AH94=2, 0.5,
cleaned_data!AH94&gt;=3, 0.25)</f>
        <v>0.5</v>
      </c>
      <c r="AB94" cm="1">
        <f t="array" ref="AB94">_xlfn.IFS(cleaned_data!AO94="", "",
cleaned_data!AO94&gt;=50, 1,
cleaned_data!AO94&gt;=30, 0.75,
cleaned_data!AO94&gt;=10, 0.5,
cleaned_data!AO94&lt;10, 0.25)</f>
        <v>1</v>
      </c>
      <c r="AC94" cm="1">
        <f t="array" ref="AC94">_xlfn.IFS(cleaned_data!AP94&gt;=50,1, cleaned_data!AP94&gt;=30,0.75, cleaned_data!AP94&gt;=10,0.5, cleaned_data!AP94&lt;10,0.25)</f>
        <v>0.75</v>
      </c>
      <c r="AD94" cm="1">
        <f t="array" ref="AD94">_xlfn.IFS(cleaned_data!AQ94&gt;=30,1,
cleaned_data!AQ94&gt;=20,0.75,
cleaned_data!AQ94&gt;=10,0.5,
cleaned_data!AQ94&lt;10,0.25)</f>
        <v>0.5</v>
      </c>
      <c r="AE94" cm="1">
        <f t="array" ref="AE94">_xlfn.IFS(cleaned_data!AR94&gt;=75,1,
cleaned_data!AR94&gt;=50,0.75,
cleaned_data!AR94&gt;=25,0.5,
cleaned_data!AR94&lt;25,0.25)</f>
        <v>1</v>
      </c>
      <c r="AF94">
        <f>IF(cleaned_data!AS94="Yes",1,0)</f>
        <v>0</v>
      </c>
    </row>
    <row r="95" spans="1:32" ht="16.5" customHeight="1" x14ac:dyDescent="0.35">
      <c r="A95" t="s">
        <v>187</v>
      </c>
      <c r="B95" t="s">
        <v>176</v>
      </c>
      <c r="C95">
        <f>IF(cleaned_data!K95="Registered",1,0)</f>
        <v>1</v>
      </c>
      <c r="D95">
        <f>IF(cleaned_data!L95="Yes",1,0)</f>
        <v>0</v>
      </c>
      <c r="E95">
        <f>IF(cleaned_data!M95="Yes",1,0)</f>
        <v>1</v>
      </c>
      <c r="F95">
        <f>IF(cleaned_data!O95="Unknown","",IF(cleaned_data!O95="Yes",1,0))</f>
        <v>1</v>
      </c>
      <c r="G95" cm="1">
        <f t="array" ref="G95">_xlfn.IFS(cleaned_data!N95="Owned",1,cleaned_data!N95="Leased",0.75,cleaned_data!N95="State land",0.5,cleaned_data!N95="Communal",0.25)</f>
        <v>1</v>
      </c>
      <c r="H95" s="2" cm="1">
        <f t="array" ref="H95">_xlfn.IFS(cleaned_data!G95&gt;=10,1,cleaned_data!G95&gt;=5,0.75,cleaned_data!G95&gt;=2,0.5,TRUE,0.25)</f>
        <v>1</v>
      </c>
      <c r="I95">
        <f>IF(cleaned_data!P95="None",0,1)</f>
        <v>1</v>
      </c>
      <c r="J95" s="2" cm="1">
        <f t="array" ref="J95">_xlfn.IFS(cleaned_data!H95&gt;=20,1,cleaned_data!H95&gt;=10,0.75,cleaned_data!H95&gt;=5,0.5,cleaned_data!H95&gt;=1,0.25,TRUE,0)</f>
        <v>0.75</v>
      </c>
      <c r="K95" cm="1">
        <f t="array" ref="K95">_xlfn.IFS(cleaned_data!Q95&gt;=100000,1,cleaned_data!Q95&gt;=50000,0.75,cleaned_data!Q95&gt;=10000,0.5,TRUE,0.25)</f>
        <v>1</v>
      </c>
      <c r="L95" cm="1">
        <f t="array" ref="L95">_xlfn.IFS(cleaned_data!T95="","",cleaned_data!T95&lt;=10,1,cleaned_data!T95&lt;=25,0.75,cleaned_data!T95&lt;=40,0.5, cleaned_data!T95&gt;40,0.25)</f>
        <v>0.75</v>
      </c>
      <c r="M95">
        <f>IF(cleaned_data!U95="Yes",1,0)</f>
        <v>1</v>
      </c>
      <c r="N95" cm="1">
        <f t="array" ref="N95">_xlfn.IFS(cleaned_data!V95="Unknown","",cleaned_data!V95="Yes",1,TRUE,0)</f>
        <v>0</v>
      </c>
      <c r="O95" cm="1">
        <f t="array" ref="O95">_xlfn.IFS(cleaned_data!S95&gt;=4,1,cleaned_data!S95=3,0.75,cleaned_data!S95=2,0.5,cleaned_data!S95=1,0.25,TRUE,0)</f>
        <v>0.5</v>
      </c>
      <c r="P95" cm="1">
        <f t="array" ref="P95">_xlfn.IFS(cleaned_data!AB95&gt;=50,1,cleaned_data!AB95&gt;=35,0.75,cleaned_data!AB95&gt;=20,0.5,TRUE,0.25)</f>
        <v>1</v>
      </c>
      <c r="Q95" cm="1">
        <f t="array" ref="Q95">_xlfn.IFS(cleaned_data!X95&gt;=5,1,cleaned_data!X95&gt;=3,0.75,cleaned_data!X95=2,0.5,cleaned_data!X95=1,0.25,TRUE,0)</f>
        <v>0.5</v>
      </c>
      <c r="R95">
        <f>IF(cleaned_data!Y95="Yes",1,0)</f>
        <v>0</v>
      </c>
      <c r="S95">
        <f>IF(OR(cleaned_data!AF95="GlobalG.A.P.",cleaned_data!AF95="Fairtrade",cleaned_data!AF95="Organic (CERES)"),1,
IF(OR(cleaned_data!AF95="SIZA",cleaned_data!AF95="Woolworths TNC",cleaned_data!AF95="Checkers Good Farming"),0.75,
IF(cleaned_data!AF95="No Certificate",0,
IF(cleaned_data!AF95="Unknown","",""))))</f>
        <v>1</v>
      </c>
      <c r="T95">
        <f>IF(cleaned_data!AG95="Yes",1,0)</f>
        <v>0</v>
      </c>
      <c r="U95">
        <f>IF(OR(cleaned_data!AD95="No Loan",cleaned_data!AD95="Settled",cleaned_data!AD95="Current"),1,
IF(cleaned_data!AD95="In Arrears",0.5,
IF(cleaned_data!AD95="Defaulted",0,
IF(cleaned_data!AD95="Unknown","",""))))</f>
        <v>0</v>
      </c>
      <c r="V95" cm="1">
        <f t="array" ref="V95">_xlfn.IFS(cleaned_data!AE95&lt;=0.2,1,
cleaned_data!AE95&lt;=0.5,0.75,
cleaned_data!AE95&lt;=1,0.5,
cleaned_data!AE95&gt;1,0.25)</f>
        <v>1</v>
      </c>
      <c r="W95">
        <f>IF(cleaned_data!AJ95="Yes",1,0)</f>
        <v>1</v>
      </c>
      <c r="X95" s="2" cm="1">
        <f t="array" ref="X95">_xlfn.IFS(cleaned_data!AM95="Yes", 1,
cleaned_data!AM95="No", 0,
cleaned_data!AM95="Unknown", "")</f>
        <v>1</v>
      </c>
      <c r="Y95" cm="1">
        <f t="array" ref="Y95">_xlfn.IFS(cleaned_data!AK95="Solar", 1,
cleaned_data!AK95="Generator", 0.75,
cleaned_data!AK95="Eskom grid", 0.5,
TRUE, "")</f>
        <v>0.5</v>
      </c>
      <c r="Z95" cm="1">
        <f t="array" ref="Z95">_xlfn.IFS(cleaned_data!AL95="", "",
cleaned_data!AL95&lt;=8, 1,
cleaned_data!AL95&lt;=14, 0.75,
cleaned_data!AL95&lt;=21, 0.5,
cleaned_data!AL95&gt;=22, 0.25)</f>
        <v>0.25</v>
      </c>
      <c r="AA95" cm="1">
        <f t="array" ref="AA95">_xlfn.IFS(cleaned_data!AH95=0, 1,
cleaned_data!AH95=1, 0.75,
cleaned_data!AH95=2, 0.5,
cleaned_data!AH95&gt;=3, 0.25)</f>
        <v>0.75</v>
      </c>
      <c r="AB95" cm="1">
        <f t="array" ref="AB95">_xlfn.IFS(cleaned_data!AO95="", "",
cleaned_data!AO95&gt;=50, 1,
cleaned_data!AO95&gt;=30, 0.75,
cleaned_data!AO95&gt;=10, 0.5,
cleaned_data!AO95&lt;10, 0.25)</f>
        <v>0.75</v>
      </c>
      <c r="AC95" cm="1">
        <f t="array" ref="AC95">_xlfn.IFS(cleaned_data!AP95&gt;=50,1, cleaned_data!AP95&gt;=30,0.75, cleaned_data!AP95&gt;=10,0.5, cleaned_data!AP95&lt;10,0.25)</f>
        <v>1</v>
      </c>
      <c r="AD95" cm="1">
        <f t="array" ref="AD95">_xlfn.IFS(cleaned_data!AQ95&gt;=30,1,
cleaned_data!AQ95&gt;=20,0.75,
cleaned_data!AQ95&gt;=10,0.5,
cleaned_data!AQ95&lt;10,0.25)</f>
        <v>0.75</v>
      </c>
      <c r="AE95" cm="1">
        <f t="array" ref="AE95">_xlfn.IFS(cleaned_data!AR95&gt;=75,1,
cleaned_data!AR95&gt;=50,0.75,
cleaned_data!AR95&gt;=25,0.5,
cleaned_data!AR95&lt;25,0.25)</f>
        <v>1</v>
      </c>
      <c r="AF95">
        <f>IF(cleaned_data!AS95="Yes",1,0)</f>
        <v>1</v>
      </c>
    </row>
    <row r="96" spans="1:32" x14ac:dyDescent="0.35">
      <c r="A96" t="s">
        <v>185</v>
      </c>
      <c r="B96" t="s">
        <v>184</v>
      </c>
      <c r="C96">
        <f>IF(cleaned_data!K96="Registered",1,0)</f>
        <v>1</v>
      </c>
      <c r="D96">
        <f>IF(cleaned_data!L96="Yes",1,0)</f>
        <v>1</v>
      </c>
      <c r="E96">
        <f>IF(cleaned_data!M96="Yes",1,0)</f>
        <v>1</v>
      </c>
      <c r="F96">
        <f>IF(cleaned_data!O96="Unknown","",IF(cleaned_data!O96="Yes",1,0))</f>
        <v>1</v>
      </c>
      <c r="G96" cm="1">
        <f t="array" ref="G96">_xlfn.IFS(cleaned_data!N96="Owned",1,cleaned_data!N96="Leased",0.75,cleaned_data!N96="State land",0.5,cleaned_data!N96="Communal",0.25)</f>
        <v>0.75</v>
      </c>
      <c r="H96" s="2" cm="1">
        <f t="array" ref="H96">_xlfn.IFS(cleaned_data!G96&gt;=10,1,cleaned_data!G96&gt;=5,0.75,cleaned_data!G96&gt;=2,0.5,TRUE,0.25)</f>
        <v>1</v>
      </c>
      <c r="I96">
        <f>IF(cleaned_data!P96="None",0,1)</f>
        <v>1</v>
      </c>
      <c r="J96" s="2" cm="1">
        <f t="array" ref="J96">_xlfn.IFS(cleaned_data!H96&gt;=20,1,cleaned_data!H96&gt;=10,0.75,cleaned_data!H96&gt;=5,0.5,cleaned_data!H96&gt;=1,0.25,TRUE,0)</f>
        <v>1</v>
      </c>
      <c r="K96" cm="1">
        <f t="array" ref="K96">_xlfn.IFS(cleaned_data!Q96&gt;=100000,1,cleaned_data!Q96&gt;=50000,0.75,cleaned_data!Q96&gt;=10000,0.5,TRUE,0.25)</f>
        <v>0.5</v>
      </c>
      <c r="L96" cm="1">
        <f t="array" ref="L96">_xlfn.IFS(cleaned_data!T96="","",cleaned_data!T96&lt;=10,1,cleaned_data!T96&lt;=25,0.75,cleaned_data!T96&lt;=40,0.5, cleaned_data!T96&gt;40,0.25)</f>
        <v>0.5</v>
      </c>
      <c r="M96">
        <f>IF(cleaned_data!U96="Yes",1,0)</f>
        <v>0</v>
      </c>
      <c r="N96" t="str" cm="1">
        <f t="array" ref="N96">_xlfn.IFS(cleaned_data!V96="Unknown","",cleaned_data!V96="Yes",1,TRUE,0)</f>
        <v/>
      </c>
      <c r="O96" cm="1">
        <f t="array" ref="O96">_xlfn.IFS(cleaned_data!S96&gt;=4,1,cleaned_data!S96=3,0.75,cleaned_data!S96=2,0.5,cleaned_data!S96=1,0.25,TRUE,0)</f>
        <v>1</v>
      </c>
      <c r="P96" cm="1">
        <f t="array" ref="P96">_xlfn.IFS(cleaned_data!AB96&gt;=50,1,cleaned_data!AB96&gt;=35,0.75,cleaned_data!AB96&gt;=20,0.5,TRUE,0.25)</f>
        <v>0.5</v>
      </c>
      <c r="Q96" cm="1">
        <f t="array" ref="Q96">_xlfn.IFS(cleaned_data!X96&gt;=5,1,cleaned_data!X96&gt;=3,0.75,cleaned_data!X96=2,0.5,cleaned_data!X96=1,0.25,TRUE,0)</f>
        <v>0.25</v>
      </c>
      <c r="R96">
        <f>IF(cleaned_data!Y96="Yes",1,0)</f>
        <v>0</v>
      </c>
      <c r="S96">
        <f>IF(OR(cleaned_data!AF96="GlobalG.A.P.",cleaned_data!AF96="Fairtrade",cleaned_data!AF96="Organic (CERES)"),1,
IF(OR(cleaned_data!AF96="SIZA",cleaned_data!AF96="Woolworths TNC",cleaned_data!AF96="Checkers Good Farming"),0.75,
IF(cleaned_data!AF96="No Certificate",0,
IF(cleaned_data!AF96="Unknown","",""))))</f>
        <v>0</v>
      </c>
      <c r="T96">
        <f>IF(cleaned_data!AG96="Yes",1,0)</f>
        <v>0</v>
      </c>
      <c r="U96">
        <f>IF(OR(cleaned_data!AD96="No Loan",cleaned_data!AD96="Settled",cleaned_data!AD96="Current"),1,
IF(cleaned_data!AD96="In Arrears",0.5,
IF(cleaned_data!AD96="Defaulted",0,
IF(cleaned_data!AD96="Unknown","",""))))</f>
        <v>1</v>
      </c>
      <c r="V96" cm="1">
        <f t="array" ref="V96">_xlfn.IFS(cleaned_data!AE96&lt;=0.2,1,
cleaned_data!AE96&lt;=0.5,0.75,
cleaned_data!AE96&lt;=1,0.5,
cleaned_data!AE96&gt;1,0.25)</f>
        <v>0.75</v>
      </c>
      <c r="W96">
        <f>IF(cleaned_data!AJ96="Yes",1,0)</f>
        <v>0</v>
      </c>
      <c r="X96" s="2" cm="1">
        <f t="array" ref="X96">_xlfn.IFS(cleaned_data!AM96="Yes", 1,
cleaned_data!AM96="No", 0,
cleaned_data!AM96="Unknown", "")</f>
        <v>1</v>
      </c>
      <c r="Y96" cm="1">
        <f t="array" ref="Y96">_xlfn.IFS(cleaned_data!AK96="Solar", 1,
cleaned_data!AK96="Generator", 0.75,
cleaned_data!AK96="Eskom grid", 0.5,
TRUE, "")</f>
        <v>0.5</v>
      </c>
      <c r="Z96" cm="1">
        <f t="array" ref="Z96">_xlfn.IFS(cleaned_data!AL96="", "",
cleaned_data!AL96&lt;=8, 1,
cleaned_data!AL96&lt;=14, 0.75,
cleaned_data!AL96&lt;=21, 0.5,
cleaned_data!AL96&gt;=22, 0.25)</f>
        <v>0.5</v>
      </c>
      <c r="AA96" cm="1">
        <f t="array" ref="AA96">_xlfn.IFS(cleaned_data!AH96=0, 1,
cleaned_data!AH96=1, 0.75,
cleaned_data!AH96=2, 0.5,
cleaned_data!AH96&gt;=3, 0.25)</f>
        <v>1</v>
      </c>
      <c r="AB96" cm="1">
        <f t="array" ref="AB96">_xlfn.IFS(cleaned_data!AO96="", "",
cleaned_data!AO96&gt;=50, 1,
cleaned_data!AO96&gt;=30, 0.75,
cleaned_data!AO96&gt;=10, 0.5,
cleaned_data!AO96&lt;10, 0.25)</f>
        <v>1</v>
      </c>
      <c r="AC96" cm="1">
        <f t="array" ref="AC96">_xlfn.IFS(cleaned_data!AP96&gt;=50,1, cleaned_data!AP96&gt;=30,0.75, cleaned_data!AP96&gt;=10,0.5, cleaned_data!AP96&lt;10,0.25)</f>
        <v>0.75</v>
      </c>
      <c r="AD96" cm="1">
        <f t="array" ref="AD96">_xlfn.IFS(cleaned_data!AQ96&gt;=30,1,
cleaned_data!AQ96&gt;=20,0.75,
cleaned_data!AQ96&gt;=10,0.5,
cleaned_data!AQ96&lt;10,0.25)</f>
        <v>0.75</v>
      </c>
      <c r="AE96" cm="1">
        <f t="array" ref="AE96">_xlfn.IFS(cleaned_data!AR96&gt;=75,1,
cleaned_data!AR96&gt;=50,0.75,
cleaned_data!AR96&gt;=25,0.5,
cleaned_data!AR96&lt;25,0.25)</f>
        <v>0.75</v>
      </c>
      <c r="AF96">
        <f>IF(cleaned_data!AS96="Yes",1,0)</f>
        <v>0</v>
      </c>
    </row>
    <row r="97" spans="1:32" x14ac:dyDescent="0.35">
      <c r="A97" t="s">
        <v>183</v>
      </c>
      <c r="B97" t="s">
        <v>182</v>
      </c>
      <c r="C97">
        <f>IF(cleaned_data!K97="Registered",1,0)</f>
        <v>1</v>
      </c>
      <c r="D97">
        <f>IF(cleaned_data!L97="Yes",1,0)</f>
        <v>1</v>
      </c>
      <c r="E97">
        <f>IF(cleaned_data!M97="Yes",1,0)</f>
        <v>1</v>
      </c>
      <c r="F97">
        <f>IF(cleaned_data!O97="Unknown","",IF(cleaned_data!O97="Yes",1,0))</f>
        <v>0</v>
      </c>
      <c r="G97" cm="1">
        <f t="array" ref="G97">_xlfn.IFS(cleaned_data!N97="Owned",1,cleaned_data!N97="Leased",0.75,cleaned_data!N97="State land",0.5,cleaned_data!N97="Communal",0.25)</f>
        <v>0.5</v>
      </c>
      <c r="H97" s="2" cm="1">
        <f t="array" ref="H97">_xlfn.IFS(cleaned_data!G97&gt;=10,1,cleaned_data!G97&gt;=5,0.75,cleaned_data!G97&gt;=2,0.5,TRUE,0.25)</f>
        <v>1</v>
      </c>
      <c r="I97">
        <f>IF(cleaned_data!P97="None",0,1)</f>
        <v>0</v>
      </c>
      <c r="J97" s="2" cm="1">
        <f t="array" ref="J97">_xlfn.IFS(cleaned_data!H97&gt;=20,1,cleaned_data!H97&gt;=10,0.75,cleaned_data!H97&gt;=5,0.5,cleaned_data!H97&gt;=1,0.25,TRUE,0)</f>
        <v>0.75</v>
      </c>
      <c r="K97" cm="1">
        <f t="array" ref="K97">_xlfn.IFS(cleaned_data!Q97&gt;=100000,1,cleaned_data!Q97&gt;=50000,0.75,cleaned_data!Q97&gt;=10000,0.5,TRUE,0.25)</f>
        <v>1</v>
      </c>
      <c r="L97" cm="1">
        <f t="array" ref="L97">_xlfn.IFS(cleaned_data!T97="","",cleaned_data!T97&lt;=10,1,cleaned_data!T97&lt;=25,0.75,cleaned_data!T97&lt;=40,0.5, cleaned_data!T97&gt;40,0.25)</f>
        <v>0.5</v>
      </c>
      <c r="M97">
        <f>IF(cleaned_data!U97="Yes",1,0)</f>
        <v>0</v>
      </c>
      <c r="N97" t="str" cm="1">
        <f t="array" ref="N97">_xlfn.IFS(cleaned_data!V97="Unknown","",cleaned_data!V97="Yes",1,TRUE,0)</f>
        <v/>
      </c>
      <c r="O97" cm="1">
        <f t="array" ref="O97">_xlfn.IFS(cleaned_data!S97&gt;=4,1,cleaned_data!S97=3,0.75,cleaned_data!S97=2,0.5,cleaned_data!S97=1,0.25,TRUE,0)</f>
        <v>1</v>
      </c>
      <c r="P97" cm="1">
        <f t="array" ref="P97">_xlfn.IFS(cleaned_data!AB97&gt;=50,1,cleaned_data!AB97&gt;=35,0.75,cleaned_data!AB97&gt;=20,0.5,TRUE,0.25)</f>
        <v>1</v>
      </c>
      <c r="Q97" cm="1">
        <f t="array" ref="Q97">_xlfn.IFS(cleaned_data!X97&gt;=5,1,cleaned_data!X97&gt;=3,0.75,cleaned_data!X97=2,0.5,cleaned_data!X97=1,0.25,TRUE,0)</f>
        <v>0.25</v>
      </c>
      <c r="R97">
        <f>IF(cleaned_data!Y97="Yes",1,0)</f>
        <v>0</v>
      </c>
      <c r="S97">
        <f>IF(OR(cleaned_data!AF97="GlobalG.A.P.",cleaned_data!AF97="Fairtrade",cleaned_data!AF97="Organic (CERES)"),1,
IF(OR(cleaned_data!AF97="SIZA",cleaned_data!AF97="Woolworths TNC",cleaned_data!AF97="Checkers Good Farming"),0.75,
IF(cleaned_data!AF97="No Certificate",0,
IF(cleaned_data!AF97="Unknown","",""))))</f>
        <v>0</v>
      </c>
      <c r="T97">
        <f>IF(cleaned_data!AG97="Yes",1,0)</f>
        <v>0</v>
      </c>
      <c r="U97">
        <f>IF(OR(cleaned_data!AD97="No Loan",cleaned_data!AD97="Settled",cleaned_data!AD97="Current"),1,
IF(cleaned_data!AD97="In Arrears",0.5,
IF(cleaned_data!AD97="Defaulted",0,
IF(cleaned_data!AD97="Unknown","",""))))</f>
        <v>1</v>
      </c>
      <c r="V97" cm="1">
        <f t="array" ref="V97">_xlfn.IFS(cleaned_data!AE97&lt;=0.2,1,
cleaned_data!AE97&lt;=0.5,0.75,
cleaned_data!AE97&lt;=1,0.5,
cleaned_data!AE97&gt;1,0.25)</f>
        <v>0.75</v>
      </c>
      <c r="W97">
        <f>IF(cleaned_data!AJ97="Yes",1,0)</f>
        <v>1</v>
      </c>
      <c r="X97" s="2" cm="1">
        <f t="array" ref="X97">_xlfn.IFS(cleaned_data!AM97="Yes", 1,
cleaned_data!AM97="No", 0,
cleaned_data!AM97="Unknown", "")</f>
        <v>1</v>
      </c>
      <c r="Y97" cm="1">
        <f t="array" ref="Y97">_xlfn.IFS(cleaned_data!AK97="Solar", 1,
cleaned_data!AK97="Generator", 0.75,
cleaned_data!AK97="Eskom grid", 0.5,
TRUE, "")</f>
        <v>0.75</v>
      </c>
      <c r="Z97" cm="1">
        <f t="array" ref="Z97">_xlfn.IFS(cleaned_data!AL97="", "",
cleaned_data!AL97&lt;=8, 1,
cleaned_data!AL97&lt;=14, 0.75,
cleaned_data!AL97&lt;=21, 0.5,
cleaned_data!AL97&gt;=22, 0.25)</f>
        <v>1</v>
      </c>
      <c r="AA97" cm="1">
        <f t="array" ref="AA97">_xlfn.IFS(cleaned_data!AH97=0, 1,
cleaned_data!AH97=1, 0.75,
cleaned_data!AH97=2, 0.5,
cleaned_data!AH97&gt;=3, 0.25)</f>
        <v>0.25</v>
      </c>
      <c r="AB97" cm="1">
        <f t="array" ref="AB97">_xlfn.IFS(cleaned_data!AO97="", "",
cleaned_data!AO97&gt;=50, 1,
cleaned_data!AO97&gt;=30, 0.75,
cleaned_data!AO97&gt;=10, 0.5,
cleaned_data!AO97&lt;10, 0.25)</f>
        <v>1</v>
      </c>
      <c r="AC97" cm="1">
        <f t="array" ref="AC97">_xlfn.IFS(cleaned_data!AP97&gt;=50,1, cleaned_data!AP97&gt;=30,0.75, cleaned_data!AP97&gt;=10,0.5, cleaned_data!AP97&lt;10,0.25)</f>
        <v>1</v>
      </c>
      <c r="AD97" cm="1">
        <f t="array" ref="AD97">_xlfn.IFS(cleaned_data!AQ97&gt;=30,1,
cleaned_data!AQ97&gt;=20,0.75,
cleaned_data!AQ97&gt;=10,0.5,
cleaned_data!AQ97&lt;10,0.25)</f>
        <v>1</v>
      </c>
      <c r="AE97" cm="1">
        <f t="array" ref="AE97">_xlfn.IFS(cleaned_data!AR97&gt;=75,1,
cleaned_data!AR97&gt;=50,0.75,
cleaned_data!AR97&gt;=25,0.5,
cleaned_data!AR97&lt;25,0.25)</f>
        <v>1</v>
      </c>
      <c r="AF97">
        <f>IF(cleaned_data!AS97="Yes",1,0)</f>
        <v>0</v>
      </c>
    </row>
    <row r="98" spans="1:32" hidden="1" x14ac:dyDescent="0.35">
      <c r="A98" t="s">
        <v>181</v>
      </c>
      <c r="B98" t="s">
        <v>180</v>
      </c>
      <c r="C98">
        <f>IF(cleaned_data!K98="Registered",1,0)</f>
        <v>1</v>
      </c>
      <c r="D98">
        <f>IF(cleaned_data!L98="Yes",1,0)</f>
        <v>1</v>
      </c>
      <c r="E98">
        <f>IF(cleaned_data!M98="Yes",1,0)</f>
        <v>0</v>
      </c>
      <c r="F98">
        <f>IF(cleaned_data!O98="Unknown","",IF(cleaned_data!O98="Yes",1,0))</f>
        <v>1</v>
      </c>
      <c r="G98" cm="1">
        <f t="array" ref="G98">_xlfn.IFS(cleaned_data!N98="Owned",1,cleaned_data!N98="Leased",0.75,cleaned_data!N98="State land",0.5,cleaned_data!N98="Communal",0.25)</f>
        <v>1</v>
      </c>
      <c r="H98" s="2" cm="1">
        <f t="array" ref="H98">_xlfn.IFS(cleaned_data!G98&gt;=10,1,cleaned_data!G98&gt;=5,0.75,cleaned_data!G98&gt;=2,0.5,TRUE,0.25)</f>
        <v>1</v>
      </c>
      <c r="I98">
        <f>IF(cleaned_data!P98="None",0,1)</f>
        <v>1</v>
      </c>
      <c r="J98" s="2" cm="1">
        <f t="array" ref="J98">_xlfn.IFS(cleaned_data!H98&gt;=20,1,cleaned_data!H98&gt;=10,0.75,cleaned_data!H98&gt;=5,0.5,cleaned_data!H98&gt;=1,0.25,TRUE,0)</f>
        <v>0.5</v>
      </c>
      <c r="K98" cm="1">
        <f t="array" ref="K98">_xlfn.IFS(cleaned_data!Q98&gt;=100000,1,cleaned_data!Q98&gt;=50000,0.75,cleaned_data!Q98&gt;=10000,0.5,TRUE,0.25)</f>
        <v>0.5</v>
      </c>
      <c r="L98" t="str" cm="1">
        <f t="array" ref="L98">_xlfn.IFS(cleaned_data!T98="","",cleaned_data!T98&lt;=10,1,cleaned_data!T98&lt;=25,0.75,cleaned_data!T98&lt;=40,0.5, cleaned_data!T98&gt;40,0.25)</f>
        <v/>
      </c>
      <c r="M98">
        <f>IF(cleaned_data!U98="Yes",1,0)</f>
        <v>0</v>
      </c>
      <c r="N98" cm="1">
        <f t="array" ref="N98">_xlfn.IFS(cleaned_data!V98="Unknown","",cleaned_data!V98="Yes",1,TRUE,0)</f>
        <v>0</v>
      </c>
      <c r="O98" cm="1">
        <f t="array" ref="O98">_xlfn.IFS(cleaned_data!S98&gt;=4,1,cleaned_data!S98=3,0.75,cleaned_data!S98=2,0.5,cleaned_data!S98=1,0.25,TRUE,0)</f>
        <v>1</v>
      </c>
      <c r="P98" cm="1">
        <f t="array" ref="P98">_xlfn.IFS(cleaned_data!AB98&gt;=50,1,cleaned_data!AB98&gt;=35,0.75,cleaned_data!AB98&gt;=20,0.5,TRUE,0.25)</f>
        <v>0.5</v>
      </c>
      <c r="Q98" cm="1">
        <f t="array" ref="Q98">_xlfn.IFS(cleaned_data!X98&gt;=5,1,cleaned_data!X98&gt;=3,0.75,cleaned_data!X98=2,0.5,cleaned_data!X98=1,0.25,TRUE,0)</f>
        <v>1</v>
      </c>
      <c r="R98">
        <f>IF(cleaned_data!Y98="Yes",1,0)</f>
        <v>1</v>
      </c>
      <c r="S98" t="str">
        <f>IF(OR(cleaned_data!AF98="GlobalG.A.P.",cleaned_data!AF98="Fairtrade",cleaned_data!AF98="Organic (CERES)"),1,
IF(OR(cleaned_data!AF98="SIZA",cleaned_data!AF98="Woolworths TNC",cleaned_data!AF98="Checkers Good Farming"),0.75,
IF(cleaned_data!AF98="No Certificate",0,
IF(cleaned_data!AF98="Unknown","",""))))</f>
        <v/>
      </c>
      <c r="T98">
        <f>IF(cleaned_data!AG98="Yes",1,0)</f>
        <v>0</v>
      </c>
      <c r="U98">
        <f>IF(OR(cleaned_data!AD98="No Loan",cleaned_data!AD98="Settled",cleaned_data!AD98="Current"),1,
IF(cleaned_data!AD98="In Arrears",0.5,
IF(cleaned_data!AD98="Defaulted",0,
IF(cleaned_data!AD98="Unknown","",""))))</f>
        <v>1</v>
      </c>
      <c r="V98" cm="1">
        <f t="array" ref="V98">_xlfn.IFS(cleaned_data!AE98&lt;=0.2,1,
cleaned_data!AE98&lt;=0.5,0.75,
cleaned_data!AE98&lt;=1,0.5,
cleaned_data!AE98&gt;1,0.25)</f>
        <v>1</v>
      </c>
      <c r="W98">
        <f>IF(cleaned_data!AJ98="Yes",1,0)</f>
        <v>1</v>
      </c>
      <c r="X98" s="2" cm="1">
        <f t="array" ref="X98">_xlfn.IFS(cleaned_data!AM98="Yes", 1,
cleaned_data!AM98="No", 0,
cleaned_data!AM98="Unknown", "")</f>
        <v>0</v>
      </c>
      <c r="Y98" cm="1">
        <f t="array" ref="Y98">_xlfn.IFS(cleaned_data!AK98="Solar", 1,
cleaned_data!AK98="Generator", 0.75,
cleaned_data!AK98="Eskom grid", 0.5,
TRUE, "")</f>
        <v>0.5</v>
      </c>
      <c r="Z98" cm="1">
        <f t="array" ref="Z98">_xlfn.IFS(cleaned_data!AL98="", "",
cleaned_data!AL98&lt;=8, 1,
cleaned_data!AL98&lt;=14, 0.75,
cleaned_data!AL98&lt;=21, 0.5,
cleaned_data!AL98&gt;=22, 0.25)</f>
        <v>1</v>
      </c>
      <c r="AA98" cm="1">
        <f t="array" ref="AA98">_xlfn.IFS(cleaned_data!AH98=0, 1,
cleaned_data!AH98=1, 0.75,
cleaned_data!AH98=2, 0.5,
cleaned_data!AH98&gt;=3, 0.25)</f>
        <v>1</v>
      </c>
      <c r="AB98" cm="1">
        <f t="array" ref="AB98">_xlfn.IFS(cleaned_data!AO98="", "",
cleaned_data!AO98&gt;=50, 1,
cleaned_data!AO98&gt;=30, 0.75,
cleaned_data!AO98&gt;=10, 0.5,
cleaned_data!AO98&lt;10, 0.25)</f>
        <v>0.75</v>
      </c>
      <c r="AC98" cm="1">
        <f t="array" ref="AC98">_xlfn.IFS(cleaned_data!AP98&gt;=50,1, cleaned_data!AP98&gt;=30,0.75, cleaned_data!AP98&gt;=10,0.5, cleaned_data!AP98&lt;10,0.25)</f>
        <v>1</v>
      </c>
      <c r="AD98" cm="1">
        <f t="array" ref="AD98">_xlfn.IFS(cleaned_data!AQ98&gt;=30,1,
cleaned_data!AQ98&gt;=20,0.75,
cleaned_data!AQ98&gt;=10,0.5,
cleaned_data!AQ98&lt;10,0.25)</f>
        <v>1</v>
      </c>
      <c r="AE98" cm="1">
        <f t="array" ref="AE98">_xlfn.IFS(cleaned_data!AR98&gt;=75,1,
cleaned_data!AR98&gt;=50,0.75,
cleaned_data!AR98&gt;=25,0.5,
cleaned_data!AR98&lt;25,0.25)</f>
        <v>0.75</v>
      </c>
      <c r="AF98">
        <f>IF(cleaned_data!AS98="Yes",1,0)</f>
        <v>0</v>
      </c>
    </row>
    <row r="99" spans="1:32" hidden="1" x14ac:dyDescent="0.35">
      <c r="A99" t="s">
        <v>179</v>
      </c>
      <c r="B99" t="s">
        <v>178</v>
      </c>
      <c r="C99">
        <f>IF(cleaned_data!K99="Registered",1,0)</f>
        <v>0</v>
      </c>
      <c r="D99">
        <f>IF(cleaned_data!L99="Yes",1,0)</f>
        <v>1</v>
      </c>
      <c r="E99">
        <f>IF(cleaned_data!M99="Yes",1,0)</f>
        <v>1</v>
      </c>
      <c r="F99">
        <f>IF(cleaned_data!O99="Unknown","",IF(cleaned_data!O99="Yes",1,0))</f>
        <v>0</v>
      </c>
      <c r="G99" cm="1">
        <f t="array" ref="G99">_xlfn.IFS(cleaned_data!N99="Owned",1,cleaned_data!N99="Leased",0.75,cleaned_data!N99="State land",0.5,cleaned_data!N99="Communal",0.25)</f>
        <v>1</v>
      </c>
      <c r="H99" s="2" cm="1">
        <f t="array" ref="H99">_xlfn.IFS(cleaned_data!G99&gt;=10,1,cleaned_data!G99&gt;=5,0.75,cleaned_data!G99&gt;=2,0.5,TRUE,0.25)</f>
        <v>1</v>
      </c>
      <c r="I99">
        <f>IF(cleaned_data!P99="None",0,1)</f>
        <v>1</v>
      </c>
      <c r="J99" s="2" cm="1">
        <f t="array" ref="J99">_xlfn.IFS(cleaned_data!H99&gt;=20,1,cleaned_data!H99&gt;=10,0.75,cleaned_data!H99&gt;=5,0.5,cleaned_data!H99&gt;=1,0.25,TRUE,0)</f>
        <v>1</v>
      </c>
      <c r="K99" cm="1">
        <f t="array" ref="K99">_xlfn.IFS(cleaned_data!Q99&gt;=100000,1,cleaned_data!Q99&gt;=50000,0.75,cleaned_data!Q99&gt;=10000,0.5,TRUE,0.25)</f>
        <v>0.75</v>
      </c>
      <c r="L99" cm="1">
        <f t="array" ref="L99">_xlfn.IFS(cleaned_data!T99="","",cleaned_data!T99&lt;=10,1,cleaned_data!T99&lt;=25,0.75,cleaned_data!T99&lt;=40,0.5, cleaned_data!T99&gt;40,0.25)</f>
        <v>0.75</v>
      </c>
      <c r="M99">
        <f>IF(cleaned_data!U99="Yes",1,0)</f>
        <v>0</v>
      </c>
      <c r="N99" cm="1">
        <f t="array" ref="N99">_xlfn.IFS(cleaned_data!V99="Unknown","",cleaned_data!V99="Yes",1,TRUE,0)</f>
        <v>0</v>
      </c>
      <c r="O99" cm="1">
        <f t="array" ref="O99">_xlfn.IFS(cleaned_data!S99&gt;=4,1,cleaned_data!S99=3,0.75,cleaned_data!S99=2,0.5,cleaned_data!S99=1,0.25,TRUE,0)</f>
        <v>0.75</v>
      </c>
      <c r="P99" cm="1">
        <f t="array" ref="P99">_xlfn.IFS(cleaned_data!AB99&gt;=50,1,cleaned_data!AB99&gt;=35,0.75,cleaned_data!AB99&gt;=20,0.5,TRUE,0.25)</f>
        <v>1</v>
      </c>
      <c r="Q99" cm="1">
        <f t="array" ref="Q99">_xlfn.IFS(cleaned_data!X99&gt;=5,1,cleaned_data!X99&gt;=3,0.75,cleaned_data!X99=2,0.5,cleaned_data!X99=1,0.25,TRUE,0)</f>
        <v>0.75</v>
      </c>
      <c r="R99">
        <f>IF(cleaned_data!Y99="Yes",1,0)</f>
        <v>1</v>
      </c>
      <c r="S99" t="str">
        <f>IF(OR(cleaned_data!AF99="GlobalG.A.P.",cleaned_data!AF99="Fairtrade",cleaned_data!AF99="Organic (CERES)"),1,
IF(OR(cleaned_data!AF99="SIZA",cleaned_data!AF99="Woolworths TNC",cleaned_data!AF99="Checkers Good Farming"),0.75,
IF(cleaned_data!AF99="No Certificate",0,
IF(cleaned_data!AF99="Unknown","",""))))</f>
        <v/>
      </c>
      <c r="T99">
        <f>IF(cleaned_data!AG99="Yes",1,0)</f>
        <v>0</v>
      </c>
      <c r="U99">
        <f>IF(OR(cleaned_data!AD99="No Loan",cleaned_data!AD99="Settled",cleaned_data!AD99="Current"),1,
IF(cleaned_data!AD99="In Arrears",0.5,
IF(cleaned_data!AD99="Defaulted",0,
IF(cleaned_data!AD99="Unknown","",""))))</f>
        <v>0</v>
      </c>
      <c r="V99" cm="1">
        <f t="array" ref="V99">_xlfn.IFS(cleaned_data!AE99&lt;=0.2,1,
cleaned_data!AE99&lt;=0.5,0.75,
cleaned_data!AE99&lt;=1,0.5,
cleaned_data!AE99&gt;1,0.25)</f>
        <v>1</v>
      </c>
      <c r="W99">
        <f>IF(cleaned_data!AJ99="Yes",1,0)</f>
        <v>1</v>
      </c>
      <c r="X99" s="2" cm="1">
        <f t="array" ref="X99">_xlfn.IFS(cleaned_data!AM99="Yes", 1,
cleaned_data!AM99="No", 0,
cleaned_data!AM99="Unknown", "")</f>
        <v>1</v>
      </c>
      <c r="Y99" cm="1">
        <f t="array" ref="Y99">_xlfn.IFS(cleaned_data!AK99="Solar", 1,
cleaned_data!AK99="Generator", 0.75,
cleaned_data!AK99="Eskom grid", 0.5,
TRUE, "")</f>
        <v>0.5</v>
      </c>
      <c r="Z99" cm="1">
        <f t="array" ref="Z99">_xlfn.IFS(cleaned_data!AL99="", "",
cleaned_data!AL99&lt;=8, 1,
cleaned_data!AL99&lt;=14, 0.75,
cleaned_data!AL99&lt;=21, 0.5,
cleaned_data!AL99&gt;=22, 0.25)</f>
        <v>0.5</v>
      </c>
      <c r="AA99" cm="1">
        <f t="array" ref="AA99">_xlfn.IFS(cleaned_data!AH99=0, 1,
cleaned_data!AH99=1, 0.75,
cleaned_data!AH99=2, 0.5,
cleaned_data!AH99&gt;=3, 0.25)</f>
        <v>0.5</v>
      </c>
      <c r="AB99" cm="1">
        <f t="array" ref="AB99">_xlfn.IFS(cleaned_data!AO99="", "",
cleaned_data!AO99&gt;=50, 1,
cleaned_data!AO99&gt;=30, 0.75,
cleaned_data!AO99&gt;=10, 0.5,
cleaned_data!AO99&lt;10, 0.25)</f>
        <v>0.75</v>
      </c>
      <c r="AC99" cm="1">
        <f t="array" ref="AC99">_xlfn.IFS(cleaned_data!AP99&gt;=50,1, cleaned_data!AP99&gt;=30,0.75, cleaned_data!AP99&gt;=10,0.5, cleaned_data!AP99&lt;10,0.25)</f>
        <v>1</v>
      </c>
      <c r="AD99" cm="1">
        <f t="array" ref="AD99">_xlfn.IFS(cleaned_data!AQ99&gt;=30,1,
cleaned_data!AQ99&gt;=20,0.75,
cleaned_data!AQ99&gt;=10,0.5,
cleaned_data!AQ99&lt;10,0.25)</f>
        <v>1</v>
      </c>
      <c r="AE99" cm="1">
        <f t="array" ref="AE99">_xlfn.IFS(cleaned_data!AR99&gt;=75,1,
cleaned_data!AR99&gt;=50,0.75,
cleaned_data!AR99&gt;=25,0.5,
cleaned_data!AR99&lt;25,0.25)</f>
        <v>1</v>
      </c>
      <c r="AF99">
        <f>IF(cleaned_data!AS99="Yes",1,0)</f>
        <v>1</v>
      </c>
    </row>
    <row r="100" spans="1:32" hidden="1" x14ac:dyDescent="0.35">
      <c r="A100" t="s">
        <v>177</v>
      </c>
      <c r="B100" t="s">
        <v>176</v>
      </c>
      <c r="C100">
        <f>IF(cleaned_data!K100="Registered",1,0)</f>
        <v>1</v>
      </c>
      <c r="D100">
        <f>IF(cleaned_data!L100="Yes",1,0)</f>
        <v>1</v>
      </c>
      <c r="E100">
        <f>IF(cleaned_data!M100="Yes",1,0)</f>
        <v>1</v>
      </c>
      <c r="F100">
        <f>IF(cleaned_data!O100="Unknown","",IF(cleaned_data!O100="Yes",1,0))</f>
        <v>1</v>
      </c>
      <c r="G100" cm="1">
        <f t="array" ref="G100">_xlfn.IFS(cleaned_data!N100="Owned",1,cleaned_data!N100="Leased",0.75,cleaned_data!N100="State land",0.5,cleaned_data!N100="Communal",0.25)</f>
        <v>1</v>
      </c>
      <c r="H100" s="2" cm="1">
        <f t="array" ref="H100">_xlfn.IFS(cleaned_data!G100&gt;=10,1,cleaned_data!G100&gt;=5,0.75,cleaned_data!G100&gt;=2,0.5,TRUE,0.25)</f>
        <v>0.75</v>
      </c>
      <c r="I100">
        <f>IF(cleaned_data!P100="None",0,1)</f>
        <v>1</v>
      </c>
      <c r="J100" s="2" cm="1">
        <f t="array" ref="J100">_xlfn.IFS(cleaned_data!H100&gt;=20,1,cleaned_data!H100&gt;=10,0.75,cleaned_data!H100&gt;=5,0.5,cleaned_data!H100&gt;=1,0.25,TRUE,0)</f>
        <v>1</v>
      </c>
      <c r="K100" cm="1">
        <f t="array" ref="K100">_xlfn.IFS(cleaned_data!Q100&gt;=100000,1,cleaned_data!Q100&gt;=50000,0.75,cleaned_data!Q100&gt;=10000,0.5,TRUE,0.25)</f>
        <v>0.75</v>
      </c>
      <c r="L100" cm="1">
        <f t="array" ref="L100">_xlfn.IFS(cleaned_data!T100="","",cleaned_data!T100&lt;=10,1,cleaned_data!T100&lt;=25,0.75,cleaned_data!T100&lt;=40,0.5, cleaned_data!T100&gt;40,0.25)</f>
        <v>0.5</v>
      </c>
      <c r="M100">
        <f>IF(cleaned_data!U100="Yes",1,0)</f>
        <v>0</v>
      </c>
      <c r="N100" t="str" cm="1">
        <f t="array" ref="N100">_xlfn.IFS(cleaned_data!V100="Unknown","",cleaned_data!V100="Yes",1,TRUE,0)</f>
        <v/>
      </c>
      <c r="O100" cm="1">
        <f t="array" ref="O100">_xlfn.IFS(cleaned_data!S100&gt;=4,1,cleaned_data!S100=3,0.75,cleaned_data!S100=2,0.5,cleaned_data!S100=1,0.25,TRUE,0)</f>
        <v>0.25</v>
      </c>
      <c r="P100" cm="1">
        <f t="array" ref="P100">_xlfn.IFS(cleaned_data!AB100&gt;=50,1,cleaned_data!AB100&gt;=35,0.75,cleaned_data!AB100&gt;=20,0.5,TRUE,0.25)</f>
        <v>0.75</v>
      </c>
      <c r="Q100" cm="1">
        <f t="array" ref="Q100">_xlfn.IFS(cleaned_data!X100&gt;=5,1,cleaned_data!X100&gt;=3,0.75,cleaned_data!X100=2,0.5,cleaned_data!X100=1,0.25,TRUE,0)</f>
        <v>1</v>
      </c>
      <c r="R100">
        <f>IF(cleaned_data!Y100="Yes",1,0)</f>
        <v>1</v>
      </c>
      <c r="S100">
        <f>IF(OR(cleaned_data!AF100="GlobalG.A.P.",cleaned_data!AF100="Fairtrade",cleaned_data!AF100="Organic (CERES)"),1,
IF(OR(cleaned_data!AF100="SIZA",cleaned_data!AF100="Woolworths TNC",cleaned_data!AF100="Checkers Good Farming"),0.75,
IF(cleaned_data!AF100="No Certificate",0,
IF(cleaned_data!AF100="Unknown","",""))))</f>
        <v>0</v>
      </c>
      <c r="T100">
        <f>IF(cleaned_data!AG100="Yes",1,0)</f>
        <v>0</v>
      </c>
      <c r="U100">
        <f>IF(OR(cleaned_data!AD100="No Loan",cleaned_data!AD100="Settled",cleaned_data!AD100="Current"),1,
IF(cleaned_data!AD100="In Arrears",0.5,
IF(cleaned_data!AD100="Defaulted",0,
IF(cleaned_data!AD100="Unknown","",""))))</f>
        <v>1</v>
      </c>
      <c r="V100" cm="1">
        <f t="array" ref="V100">_xlfn.IFS(cleaned_data!AE100&lt;=0.2,1,
cleaned_data!AE100&lt;=0.5,0.75,
cleaned_data!AE100&lt;=1,0.5,
cleaned_data!AE100&gt;1,0.25)</f>
        <v>0.75</v>
      </c>
      <c r="W100">
        <f>IF(cleaned_data!AJ100="Yes",1,0)</f>
        <v>0</v>
      </c>
      <c r="X100" s="2" cm="1">
        <f t="array" ref="X100">_xlfn.IFS(cleaned_data!AM100="Yes", 1,
cleaned_data!AM100="No", 0,
cleaned_data!AM100="Unknown", "")</f>
        <v>0</v>
      </c>
      <c r="Y100" cm="1">
        <f t="array" ref="Y100">_xlfn.IFS(cleaned_data!AK100="Solar", 1,
cleaned_data!AK100="Generator", 0.75,
cleaned_data!AK100="Eskom grid", 0.5,
TRUE, "")</f>
        <v>0.75</v>
      </c>
      <c r="Z100" cm="1">
        <f t="array" ref="Z100">_xlfn.IFS(cleaned_data!AL100="", "",
cleaned_data!AL100&lt;=8, 1,
cleaned_data!AL100&lt;=14, 0.75,
cleaned_data!AL100&lt;=21, 0.5,
cleaned_data!AL100&gt;=22, 0.25)</f>
        <v>1</v>
      </c>
      <c r="AA100" cm="1">
        <f t="array" ref="AA100">_xlfn.IFS(cleaned_data!AH100=0, 1,
cleaned_data!AH100=1, 0.75,
cleaned_data!AH100=2, 0.5,
cleaned_data!AH100&gt;=3, 0.25)</f>
        <v>0.75</v>
      </c>
      <c r="AB100" cm="1">
        <f t="array" ref="AB100">_xlfn.IFS(cleaned_data!AO100="", "",
cleaned_data!AO100&gt;=50, 1,
cleaned_data!AO100&gt;=30, 0.75,
cleaned_data!AO100&gt;=10, 0.5,
cleaned_data!AO100&lt;10, 0.25)</f>
        <v>0.5</v>
      </c>
      <c r="AC100" cm="1">
        <f t="array" ref="AC100">_xlfn.IFS(cleaned_data!AP100&gt;=50,1, cleaned_data!AP100&gt;=30,0.75, cleaned_data!AP100&gt;=10,0.5, cleaned_data!AP100&lt;10,0.25)</f>
        <v>0.75</v>
      </c>
      <c r="AD100" cm="1">
        <f t="array" ref="AD100">_xlfn.IFS(cleaned_data!AQ100&gt;=30,1,
cleaned_data!AQ100&gt;=20,0.75,
cleaned_data!AQ100&gt;=10,0.5,
cleaned_data!AQ100&lt;10,0.25)</f>
        <v>0.25</v>
      </c>
      <c r="AE100" cm="1">
        <f t="array" ref="AE100">_xlfn.IFS(cleaned_data!AR100&gt;=75,1,
cleaned_data!AR100&gt;=50,0.75,
cleaned_data!AR100&gt;=25,0.5,
cleaned_data!AR100&lt;25,0.25)</f>
        <v>0.75</v>
      </c>
      <c r="AF100">
        <f>IF(cleaned_data!AS100="Yes",1,0)</f>
        <v>1</v>
      </c>
    </row>
    <row r="101" spans="1:32" ht="14" customHeight="1" x14ac:dyDescent="0.35">
      <c r="A101" t="s">
        <v>175</v>
      </c>
      <c r="B101" t="s">
        <v>174</v>
      </c>
      <c r="C101">
        <f>IF(cleaned_data!K101="Registered",1,0)</f>
        <v>1</v>
      </c>
      <c r="D101">
        <f>IF(cleaned_data!L101="Yes",1,0)</f>
        <v>0</v>
      </c>
      <c r="E101">
        <f>IF(cleaned_data!M101="Yes",1,0)</f>
        <v>1</v>
      </c>
      <c r="F101">
        <f>IF(cleaned_data!O101="Unknown","",IF(cleaned_data!O101="Yes",1,0))</f>
        <v>0</v>
      </c>
      <c r="G101" cm="1">
        <f t="array" ref="G101">_xlfn.IFS(cleaned_data!N101="Owned",1,cleaned_data!N101="Leased",0.75,cleaned_data!N101="State land",0.5,cleaned_data!N101="Communal",0.25)</f>
        <v>0.5</v>
      </c>
      <c r="H101" s="2" cm="1">
        <f t="array" ref="H101">_xlfn.IFS(cleaned_data!G101&gt;=10,1,cleaned_data!G101&gt;=5,0.75,cleaned_data!G101&gt;=2,0.5,TRUE,0.25)</f>
        <v>1</v>
      </c>
      <c r="I101">
        <f>IF(cleaned_data!P101="None",0,1)</f>
        <v>1</v>
      </c>
      <c r="J101" s="2" cm="1">
        <f t="array" ref="J101">_xlfn.IFS(cleaned_data!H101&gt;=20,1,cleaned_data!H101&gt;=10,0.75,cleaned_data!H101&gt;=5,0.5,cleaned_data!H101&gt;=1,0.25,TRUE,0)</f>
        <v>0.5</v>
      </c>
      <c r="K101" cm="1">
        <f t="array" ref="K101">_xlfn.IFS(cleaned_data!Q101&gt;=100000,1,cleaned_data!Q101&gt;=50000,0.75,cleaned_data!Q101&gt;=10000,0.5,TRUE,0.25)</f>
        <v>0.5</v>
      </c>
      <c r="L101" cm="1">
        <f t="array" ref="L101">_xlfn.IFS(cleaned_data!T101="","",cleaned_data!T101&lt;=10,1,cleaned_data!T101&lt;=25,0.75,cleaned_data!T101&lt;=40,0.5, cleaned_data!T101&gt;40,0.25)</f>
        <v>0.75</v>
      </c>
      <c r="M101">
        <f>IF(cleaned_data!U101="Yes",1,0)</f>
        <v>1</v>
      </c>
      <c r="N101" cm="1">
        <f t="array" ref="N101">_xlfn.IFS(cleaned_data!V101="Unknown","",cleaned_data!V101="Yes",1,TRUE,0)</f>
        <v>0</v>
      </c>
      <c r="O101" cm="1">
        <f t="array" ref="O101">_xlfn.IFS(cleaned_data!S101&gt;=4,1,cleaned_data!S101=3,0.75,cleaned_data!S101=2,0.5,cleaned_data!S101=1,0.25,TRUE,0)</f>
        <v>0.5</v>
      </c>
      <c r="P101" cm="1">
        <f t="array" ref="P101">_xlfn.IFS(cleaned_data!AB101&gt;=50,1,cleaned_data!AB101&gt;=35,0.75,cleaned_data!AB101&gt;=20,0.5,TRUE,0.25)</f>
        <v>1</v>
      </c>
      <c r="Q101" cm="1">
        <f t="array" ref="Q101">_xlfn.IFS(cleaned_data!X101&gt;=5,1,cleaned_data!X101&gt;=3,0.75,cleaned_data!X101=2,0.5,cleaned_data!X101=1,0.25,TRUE,0)</f>
        <v>0.75</v>
      </c>
      <c r="R101">
        <f>IF(cleaned_data!Y101="Yes",1,0)</f>
        <v>0</v>
      </c>
      <c r="S101">
        <f>IF(OR(cleaned_data!AF101="GlobalG.A.P.",cleaned_data!AF101="Fairtrade",cleaned_data!AF101="Organic (CERES)"),1,
IF(OR(cleaned_data!AF101="SIZA",cleaned_data!AF101="Woolworths TNC",cleaned_data!AF101="Checkers Good Farming"),0.75,
IF(cleaned_data!AF101="No Certificate",0,
IF(cleaned_data!AF101="Unknown","",""))))</f>
        <v>1</v>
      </c>
      <c r="T101">
        <f>IF(cleaned_data!AG101="Yes",1,0)</f>
        <v>0</v>
      </c>
      <c r="U101">
        <f>IF(OR(cleaned_data!AD101="No Loan",cleaned_data!AD101="Settled",cleaned_data!AD101="Current"),1,
IF(cleaned_data!AD101="In Arrears",0.5,
IF(cleaned_data!AD101="Defaulted",0,
IF(cleaned_data!AD101="Unknown","",""))))</f>
        <v>1</v>
      </c>
      <c r="V101" cm="1">
        <f t="array" ref="V101">_xlfn.IFS(cleaned_data!AE101&lt;=0.2,1,
cleaned_data!AE101&lt;=0.5,0.75,
cleaned_data!AE101&lt;=1,0.5,
cleaned_data!AE101&gt;1,0.25)</f>
        <v>1</v>
      </c>
      <c r="W101">
        <f>IF(cleaned_data!AJ101="Yes",1,0)</f>
        <v>1</v>
      </c>
      <c r="X101" s="2" cm="1">
        <f t="array" ref="X101">_xlfn.IFS(cleaned_data!AM101="Yes", 1,
cleaned_data!AM101="No", 0,
cleaned_data!AM101="Unknown", "")</f>
        <v>1</v>
      </c>
      <c r="Y101" cm="1">
        <f t="array" ref="Y101">_xlfn.IFS(cleaned_data!AK101="Solar", 1,
cleaned_data!AK101="Generator", 0.75,
cleaned_data!AK101="Eskom grid", 0.5,
TRUE, "")</f>
        <v>0.5</v>
      </c>
      <c r="Z101" cm="1">
        <f t="array" ref="Z101">_xlfn.IFS(cleaned_data!AL101="", "",
cleaned_data!AL101&lt;=8, 1,
cleaned_data!AL101&lt;=14, 0.75,
cleaned_data!AL101&lt;=21, 0.5,
cleaned_data!AL101&gt;=22, 0.25)</f>
        <v>0.5</v>
      </c>
      <c r="AA101" cm="1">
        <f t="array" ref="AA101">_xlfn.IFS(cleaned_data!AH101=0, 1,
cleaned_data!AH101=1, 0.75,
cleaned_data!AH101=2, 0.5,
cleaned_data!AH101&gt;=3, 0.25)</f>
        <v>0.25</v>
      </c>
      <c r="AB101" cm="1">
        <f t="array" ref="AB101">_xlfn.IFS(cleaned_data!AO101="", "",
cleaned_data!AO101&gt;=50, 1,
cleaned_data!AO101&gt;=30, 0.75,
cleaned_data!AO101&gt;=10, 0.5,
cleaned_data!AO101&lt;10, 0.25)</f>
        <v>0.75</v>
      </c>
      <c r="AC101" cm="1">
        <f t="array" ref="AC101">_xlfn.IFS(cleaned_data!AP101&gt;=50,1, cleaned_data!AP101&gt;=30,0.75, cleaned_data!AP101&gt;=10,0.5, cleaned_data!AP101&lt;10,0.25)</f>
        <v>1</v>
      </c>
      <c r="AD101" cm="1">
        <f t="array" ref="AD101">_xlfn.IFS(cleaned_data!AQ101&gt;=30,1,
cleaned_data!AQ101&gt;=20,0.75,
cleaned_data!AQ101&gt;=10,0.5,
cleaned_data!AQ101&lt;10,0.25)</f>
        <v>1</v>
      </c>
      <c r="AE101" cm="1">
        <f t="array" ref="AE101">_xlfn.IFS(cleaned_data!AR101&gt;=75,1,
cleaned_data!AR101&gt;=50,0.75,
cleaned_data!AR101&gt;=25,0.5,
cleaned_data!AR101&lt;25,0.25)</f>
        <v>0.75</v>
      </c>
      <c r="AF101">
        <f>IF(cleaned_data!AS101="Yes",1,0)</f>
        <v>0</v>
      </c>
    </row>
    <row r="102" spans="1:32" x14ac:dyDescent="0.35">
      <c r="A102" t="s">
        <v>173</v>
      </c>
      <c r="B102" t="s">
        <v>172</v>
      </c>
      <c r="C102">
        <f>IF(cleaned_data!K102="Registered",1,0)</f>
        <v>0</v>
      </c>
      <c r="D102">
        <f>IF(cleaned_data!L102="Yes",1,0)</f>
        <v>1</v>
      </c>
      <c r="E102">
        <f>IF(cleaned_data!M102="Yes",1,0)</f>
        <v>0</v>
      </c>
      <c r="F102">
        <f>IF(cleaned_data!O102="Unknown","",IF(cleaned_data!O102="Yes",1,0))</f>
        <v>1</v>
      </c>
      <c r="G102" cm="1">
        <f t="array" ref="G102">_xlfn.IFS(cleaned_data!N102="Owned",1,cleaned_data!N102="Leased",0.75,cleaned_data!N102="State land",0.5,cleaned_data!N102="Communal",0.25)</f>
        <v>0.75</v>
      </c>
      <c r="H102" s="2" cm="1">
        <f t="array" ref="H102">_xlfn.IFS(cleaned_data!G102&gt;=10,1,cleaned_data!G102&gt;=5,0.75,cleaned_data!G102&gt;=2,0.5,TRUE,0.25)</f>
        <v>0.5</v>
      </c>
      <c r="I102">
        <f>IF(cleaned_data!P102="None",0,1)</f>
        <v>1</v>
      </c>
      <c r="J102" s="2" cm="1">
        <f t="array" ref="J102">_xlfn.IFS(cleaned_data!H102&gt;=20,1,cleaned_data!H102&gt;=10,0.75,cleaned_data!H102&gt;=5,0.5,cleaned_data!H102&gt;=1,0.25,TRUE,0)</f>
        <v>1</v>
      </c>
      <c r="K102" cm="1">
        <f t="array" ref="K102">_xlfn.IFS(cleaned_data!Q102&gt;=100000,1,cleaned_data!Q102&gt;=50000,0.75,cleaned_data!Q102&gt;=10000,0.5,TRUE,0.25)</f>
        <v>0.5</v>
      </c>
      <c r="L102" cm="1">
        <f t="array" ref="L102">_xlfn.IFS(cleaned_data!T102="","",cleaned_data!T102&lt;=10,1,cleaned_data!T102&lt;=25,0.75,cleaned_data!T102&lt;=40,0.5, cleaned_data!T102&gt;40,0.25)</f>
        <v>0.5</v>
      </c>
      <c r="M102">
        <f>IF(cleaned_data!U102="Yes",1,0)</f>
        <v>1</v>
      </c>
      <c r="N102" cm="1">
        <f t="array" ref="N102">_xlfn.IFS(cleaned_data!V102="Unknown","",cleaned_data!V102="Yes",1,TRUE,0)</f>
        <v>1</v>
      </c>
      <c r="O102" cm="1">
        <f t="array" ref="O102">_xlfn.IFS(cleaned_data!S102&gt;=4,1,cleaned_data!S102=3,0.75,cleaned_data!S102=2,0.5,cleaned_data!S102=1,0.25,TRUE,0)</f>
        <v>1</v>
      </c>
      <c r="P102" cm="1">
        <f t="array" ref="P102">_xlfn.IFS(cleaned_data!AB102&gt;=50,1,cleaned_data!AB102&gt;=35,0.75,cleaned_data!AB102&gt;=20,0.5,TRUE,0.25)</f>
        <v>0.75</v>
      </c>
      <c r="Q102" cm="1">
        <f t="array" ref="Q102">_xlfn.IFS(cleaned_data!X102&gt;=5,1,cleaned_data!X102&gt;=3,0.75,cleaned_data!X102=2,0.5,cleaned_data!X102=1,0.25,TRUE,0)</f>
        <v>1</v>
      </c>
      <c r="R102">
        <f>IF(cleaned_data!Y102="Yes",1,0)</f>
        <v>1</v>
      </c>
      <c r="S102">
        <f>IF(OR(cleaned_data!AF102="GlobalG.A.P.",cleaned_data!AF102="Fairtrade",cleaned_data!AF102="Organic (CERES)"),1,
IF(OR(cleaned_data!AF102="SIZA",cleaned_data!AF102="Woolworths TNC",cleaned_data!AF102="Checkers Good Farming"),0.75,
IF(cleaned_data!AF102="No Certificate",0,
IF(cleaned_data!AF102="Unknown","",""))))</f>
        <v>1</v>
      </c>
      <c r="T102">
        <f>IF(cleaned_data!AG102="Yes",1,0)</f>
        <v>0</v>
      </c>
      <c r="U102">
        <f>IF(OR(cleaned_data!AD102="No Loan",cleaned_data!AD102="Settled",cleaned_data!AD102="Current"),1,
IF(cleaned_data!AD102="In Arrears",0.5,
IF(cleaned_data!AD102="Defaulted",0,
IF(cleaned_data!AD102="Unknown","",""))))</f>
        <v>1</v>
      </c>
      <c r="V102" cm="1">
        <f t="array" ref="V102">_xlfn.IFS(cleaned_data!AE102&lt;=0.2,1,
cleaned_data!AE102&lt;=0.5,0.75,
cleaned_data!AE102&lt;=1,0.5,
cleaned_data!AE102&gt;1,0.25)</f>
        <v>0.75</v>
      </c>
      <c r="W102">
        <f>IF(cleaned_data!AJ102="Yes",1,0)</f>
        <v>1</v>
      </c>
      <c r="X102" s="2" cm="1">
        <f t="array" ref="X102">_xlfn.IFS(cleaned_data!AM102="Yes", 1,
cleaned_data!AM102="No", 0,
cleaned_data!AM102="Unknown", "")</f>
        <v>1</v>
      </c>
      <c r="Y102" cm="1">
        <f t="array" ref="Y102">_xlfn.IFS(cleaned_data!AK102="Solar", 1,
cleaned_data!AK102="Generator", 0.75,
cleaned_data!AK102="Eskom grid", 0.5,
TRUE, "")</f>
        <v>0.5</v>
      </c>
      <c r="Z102" cm="1">
        <f t="array" ref="Z102">_xlfn.IFS(cleaned_data!AL102="", "",
cleaned_data!AL102&lt;=8, 1,
cleaned_data!AL102&lt;=14, 0.75,
cleaned_data!AL102&lt;=21, 0.5,
cleaned_data!AL102&gt;=22, 0.25)</f>
        <v>0.25</v>
      </c>
      <c r="AA102" cm="1">
        <f t="array" ref="AA102">_xlfn.IFS(cleaned_data!AH102=0, 1,
cleaned_data!AH102=1, 0.75,
cleaned_data!AH102=2, 0.5,
cleaned_data!AH102&gt;=3, 0.25)</f>
        <v>0.75</v>
      </c>
      <c r="AB102" cm="1">
        <f t="array" ref="AB102">_xlfn.IFS(cleaned_data!AO102="", "",
cleaned_data!AO102&gt;=50, 1,
cleaned_data!AO102&gt;=30, 0.75,
cleaned_data!AO102&gt;=10, 0.5,
cleaned_data!AO102&lt;10, 0.25)</f>
        <v>1</v>
      </c>
      <c r="AC102" cm="1">
        <f t="array" ref="AC102">_xlfn.IFS(cleaned_data!AP102&gt;=50,1, cleaned_data!AP102&gt;=30,0.75, cleaned_data!AP102&gt;=10,0.5, cleaned_data!AP102&lt;10,0.25)</f>
        <v>0.75</v>
      </c>
      <c r="AD102" cm="1">
        <f t="array" ref="AD102">_xlfn.IFS(cleaned_data!AQ102&gt;=30,1,
cleaned_data!AQ102&gt;=20,0.75,
cleaned_data!AQ102&gt;=10,0.5,
cleaned_data!AQ102&lt;10,0.25)</f>
        <v>0.75</v>
      </c>
      <c r="AE102" cm="1">
        <f t="array" ref="AE102">_xlfn.IFS(cleaned_data!AR102&gt;=75,1,
cleaned_data!AR102&gt;=50,0.75,
cleaned_data!AR102&gt;=25,0.5,
cleaned_data!AR102&lt;25,0.25)</f>
        <v>1</v>
      </c>
      <c r="AF102">
        <f>IF(cleaned_data!AS102="Yes",1,0)</f>
        <v>0</v>
      </c>
    </row>
    <row r="103" spans="1:32" hidden="1" x14ac:dyDescent="0.35">
      <c r="A103" t="s">
        <v>171</v>
      </c>
      <c r="B103" t="s">
        <v>170</v>
      </c>
      <c r="C103">
        <f>IF(cleaned_data!K103="Registered",1,0)</f>
        <v>0</v>
      </c>
      <c r="D103">
        <f>IF(cleaned_data!L103="Yes",1,0)</f>
        <v>1</v>
      </c>
      <c r="E103">
        <f>IF(cleaned_data!M103="Yes",1,0)</f>
        <v>0</v>
      </c>
      <c r="F103">
        <f>IF(cleaned_data!O103="Unknown","",IF(cleaned_data!O103="Yes",1,0))</f>
        <v>0</v>
      </c>
      <c r="G103" cm="1">
        <f t="array" ref="G103">_xlfn.IFS(cleaned_data!N103="Owned",1,cleaned_data!N103="Leased",0.75,cleaned_data!N103="State land",0.5,cleaned_data!N103="Communal",0.25)</f>
        <v>0.75</v>
      </c>
      <c r="H103" s="2" cm="1">
        <f t="array" ref="H103">_xlfn.IFS(cleaned_data!G103&gt;=10,1,cleaned_data!G103&gt;=5,0.75,cleaned_data!G103&gt;=2,0.5,TRUE,0.25)</f>
        <v>1</v>
      </c>
      <c r="I103">
        <f>IF(cleaned_data!P103="None",0,1)</f>
        <v>0</v>
      </c>
      <c r="J103" s="2" cm="1">
        <f t="array" ref="J103">_xlfn.IFS(cleaned_data!H103&gt;=20,1,cleaned_data!H103&gt;=10,0.75,cleaned_data!H103&gt;=5,0.5,cleaned_data!H103&gt;=1,0.25,TRUE,0)</f>
        <v>1</v>
      </c>
      <c r="K103" cm="1">
        <f t="array" ref="K103">_xlfn.IFS(cleaned_data!Q103&gt;=100000,1,cleaned_data!Q103&gt;=50000,0.75,cleaned_data!Q103&gt;=10000,0.5,TRUE,0.25)</f>
        <v>1</v>
      </c>
      <c r="L103" cm="1">
        <f t="array" ref="L103">_xlfn.IFS(cleaned_data!T103="","",cleaned_data!T103&lt;=10,1,cleaned_data!T103&lt;=25,0.75,cleaned_data!T103&lt;=40,0.5, cleaned_data!T103&gt;40,0.25)</f>
        <v>0.5</v>
      </c>
      <c r="M103">
        <f>IF(cleaned_data!U103="Yes",1,0)</f>
        <v>1</v>
      </c>
      <c r="N103" t="str" cm="1">
        <f t="array" ref="N103">_xlfn.IFS(cleaned_data!V103="Unknown","",cleaned_data!V103="Yes",1,TRUE,0)</f>
        <v/>
      </c>
      <c r="O103" cm="1">
        <f t="array" ref="O103">_xlfn.IFS(cleaned_data!S103&gt;=4,1,cleaned_data!S103=3,0.75,cleaned_data!S103=2,0.5,cleaned_data!S103=1,0.25,TRUE,0)</f>
        <v>1</v>
      </c>
      <c r="P103" cm="1">
        <f t="array" ref="P103">_xlfn.IFS(cleaned_data!AB103&gt;=50,1,cleaned_data!AB103&gt;=35,0.75,cleaned_data!AB103&gt;=20,0.5,TRUE,0.25)</f>
        <v>0.5</v>
      </c>
      <c r="Q103" cm="1">
        <f t="array" ref="Q103">_xlfn.IFS(cleaned_data!X103&gt;=5,1,cleaned_data!X103&gt;=3,0.75,cleaned_data!X103=2,0.5,cleaned_data!X103=1,0.25,TRUE,0)</f>
        <v>0.25</v>
      </c>
      <c r="R103">
        <f>IF(cleaned_data!Y103="Yes",1,0)</f>
        <v>1</v>
      </c>
      <c r="S103">
        <f>IF(OR(cleaned_data!AF103="GlobalG.A.P.",cleaned_data!AF103="Fairtrade",cleaned_data!AF103="Organic (CERES)"),1,
IF(OR(cleaned_data!AF103="SIZA",cleaned_data!AF103="Woolworths TNC",cleaned_data!AF103="Checkers Good Farming"),0.75,
IF(cleaned_data!AF103="No Certificate",0,
IF(cleaned_data!AF103="Unknown","",""))))</f>
        <v>0</v>
      </c>
      <c r="T103">
        <f>IF(cleaned_data!AG103="Yes",1,0)</f>
        <v>0</v>
      </c>
      <c r="U103">
        <f>IF(OR(cleaned_data!AD103="No Loan",cleaned_data!AD103="Settled",cleaned_data!AD103="Current"),1,
IF(cleaned_data!AD103="In Arrears",0.5,
IF(cleaned_data!AD103="Defaulted",0,
IF(cleaned_data!AD103="Unknown","",""))))</f>
        <v>1</v>
      </c>
      <c r="V103" cm="1">
        <f t="array" ref="V103">_xlfn.IFS(cleaned_data!AE103&lt;=0.2,1,
cleaned_data!AE103&lt;=0.5,0.75,
cleaned_data!AE103&lt;=1,0.5,
cleaned_data!AE103&gt;1,0.25)</f>
        <v>1</v>
      </c>
      <c r="W103">
        <f>IF(cleaned_data!AJ103="Yes",1,0)</f>
        <v>0</v>
      </c>
      <c r="X103" s="2" cm="1">
        <f t="array" ref="X103">_xlfn.IFS(cleaned_data!AM103="Yes", 1,
cleaned_data!AM103="No", 0,
cleaned_data!AM103="Unknown", "")</f>
        <v>0</v>
      </c>
      <c r="Y103" cm="1">
        <f t="array" ref="Y103">_xlfn.IFS(cleaned_data!AK103="Solar", 1,
cleaned_data!AK103="Generator", 0.75,
cleaned_data!AK103="Eskom grid", 0.5,
TRUE, "")</f>
        <v>0.5</v>
      </c>
      <c r="Z103" cm="1">
        <f t="array" ref="Z103">_xlfn.IFS(cleaned_data!AL103="", "",
cleaned_data!AL103&lt;=8, 1,
cleaned_data!AL103&lt;=14, 0.75,
cleaned_data!AL103&lt;=21, 0.5,
cleaned_data!AL103&gt;=22, 0.25)</f>
        <v>0.25</v>
      </c>
      <c r="AA103" cm="1">
        <f t="array" ref="AA103">_xlfn.IFS(cleaned_data!AH103=0, 1,
cleaned_data!AH103=1, 0.75,
cleaned_data!AH103=2, 0.5,
cleaned_data!AH103&gt;=3, 0.25)</f>
        <v>0.75</v>
      </c>
      <c r="AB103" cm="1">
        <f t="array" ref="AB103">_xlfn.IFS(cleaned_data!AO103="", "",
cleaned_data!AO103&gt;=50, 1,
cleaned_data!AO103&gt;=30, 0.75,
cleaned_data!AO103&gt;=10, 0.5,
cleaned_data!AO103&lt;10, 0.25)</f>
        <v>0.25</v>
      </c>
      <c r="AC103" cm="1">
        <f t="array" ref="AC103">_xlfn.IFS(cleaned_data!AP103&gt;=50,1, cleaned_data!AP103&gt;=30,0.75, cleaned_data!AP103&gt;=10,0.5, cleaned_data!AP103&lt;10,0.25)</f>
        <v>1</v>
      </c>
      <c r="AD103" cm="1">
        <f t="array" ref="AD103">_xlfn.IFS(cleaned_data!AQ103&gt;=30,1,
cleaned_data!AQ103&gt;=20,0.75,
cleaned_data!AQ103&gt;=10,0.5,
cleaned_data!AQ103&lt;10,0.25)</f>
        <v>1</v>
      </c>
      <c r="AE103" cm="1">
        <f t="array" ref="AE103">_xlfn.IFS(cleaned_data!AR103&gt;=75,1,
cleaned_data!AR103&gt;=50,0.75,
cleaned_data!AR103&gt;=25,0.5,
cleaned_data!AR103&lt;25,0.25)</f>
        <v>0.75</v>
      </c>
      <c r="AF103">
        <f>IF(cleaned_data!AS103="Yes",1,0)</f>
        <v>1</v>
      </c>
    </row>
    <row r="104" spans="1:32" x14ac:dyDescent="0.35">
      <c r="A104" t="s">
        <v>169</v>
      </c>
      <c r="B104" t="s">
        <v>168</v>
      </c>
      <c r="C104">
        <f>IF(cleaned_data!K104="Registered",1,0)</f>
        <v>1</v>
      </c>
      <c r="D104">
        <f>IF(cleaned_data!L104="Yes",1,0)</f>
        <v>0</v>
      </c>
      <c r="E104">
        <f>IF(cleaned_data!M104="Yes",1,0)</f>
        <v>0</v>
      </c>
      <c r="F104">
        <f>IF(cleaned_data!O104="Unknown","",IF(cleaned_data!O104="Yes",1,0))</f>
        <v>1</v>
      </c>
      <c r="G104" cm="1">
        <f t="array" ref="G104">_xlfn.IFS(cleaned_data!N104="Owned",1,cleaned_data!N104="Leased",0.75,cleaned_data!N104="State land",0.5,cleaned_data!N104="Communal",0.25)</f>
        <v>1</v>
      </c>
      <c r="H104" s="2" cm="1">
        <f t="array" ref="H104">_xlfn.IFS(cleaned_data!G104&gt;=10,1,cleaned_data!G104&gt;=5,0.75,cleaned_data!G104&gt;=2,0.5,TRUE,0.25)</f>
        <v>1</v>
      </c>
      <c r="I104">
        <f>IF(cleaned_data!P104="None",0,1)</f>
        <v>1</v>
      </c>
      <c r="J104" s="2" cm="1">
        <f t="array" ref="J104">_xlfn.IFS(cleaned_data!H104&gt;=20,1,cleaned_data!H104&gt;=10,0.75,cleaned_data!H104&gt;=5,0.5,cleaned_data!H104&gt;=1,0.25,TRUE,0)</f>
        <v>0.75</v>
      </c>
      <c r="K104" cm="1">
        <f t="array" ref="K104">_xlfn.IFS(cleaned_data!Q104&gt;=100000,1,cleaned_data!Q104&gt;=50000,0.75,cleaned_data!Q104&gt;=10000,0.5,TRUE,0.25)</f>
        <v>1</v>
      </c>
      <c r="L104" cm="1">
        <f t="array" ref="L104">_xlfn.IFS(cleaned_data!T104="","",cleaned_data!T104&lt;=10,1,cleaned_data!T104&lt;=25,0.75,cleaned_data!T104&lt;=40,0.5, cleaned_data!T104&gt;40,0.25)</f>
        <v>0.5</v>
      </c>
      <c r="M104">
        <f>IF(cleaned_data!U104="Yes",1,0)</f>
        <v>0</v>
      </c>
      <c r="N104" cm="1">
        <f t="array" ref="N104">_xlfn.IFS(cleaned_data!V104="Unknown","",cleaned_data!V104="Yes",1,TRUE,0)</f>
        <v>1</v>
      </c>
      <c r="O104" cm="1">
        <f t="array" ref="O104">_xlfn.IFS(cleaned_data!S104&gt;=4,1,cleaned_data!S104=3,0.75,cleaned_data!S104=2,0.5,cleaned_data!S104=1,0.25,TRUE,0)</f>
        <v>0.75</v>
      </c>
      <c r="P104" cm="1">
        <f t="array" ref="P104">_xlfn.IFS(cleaned_data!AB104&gt;=50,1,cleaned_data!AB104&gt;=35,0.75,cleaned_data!AB104&gt;=20,0.5,TRUE,0.25)</f>
        <v>0.75</v>
      </c>
      <c r="Q104" cm="1">
        <f t="array" ref="Q104">_xlfn.IFS(cleaned_data!X104&gt;=5,1,cleaned_data!X104&gt;=3,0.75,cleaned_data!X104=2,0.5,cleaned_data!X104=1,0.25,TRUE,0)</f>
        <v>1</v>
      </c>
      <c r="R104">
        <f>IF(cleaned_data!Y104="Yes",1,0)</f>
        <v>0</v>
      </c>
      <c r="S104">
        <f>IF(OR(cleaned_data!AF104="GlobalG.A.P.",cleaned_data!AF104="Fairtrade",cleaned_data!AF104="Organic (CERES)"),1,
IF(OR(cleaned_data!AF104="SIZA",cleaned_data!AF104="Woolworths TNC",cleaned_data!AF104="Checkers Good Farming"),0.75,
IF(cleaned_data!AF104="No Certificate",0,
IF(cleaned_data!AF104="Unknown","",""))))</f>
        <v>0.75</v>
      </c>
      <c r="T104">
        <f>IF(cleaned_data!AG104="Yes",1,0)</f>
        <v>1</v>
      </c>
      <c r="U104">
        <f>IF(OR(cleaned_data!AD104="No Loan",cleaned_data!AD104="Settled",cleaned_data!AD104="Current"),1,
IF(cleaned_data!AD104="In Arrears",0.5,
IF(cleaned_data!AD104="Defaulted",0,
IF(cleaned_data!AD104="Unknown","",""))))</f>
        <v>1</v>
      </c>
      <c r="V104" cm="1">
        <f t="array" ref="V104">_xlfn.IFS(cleaned_data!AE104&lt;=0.2,1,
cleaned_data!AE104&lt;=0.5,0.75,
cleaned_data!AE104&lt;=1,0.5,
cleaned_data!AE104&gt;1,0.25)</f>
        <v>0.75</v>
      </c>
      <c r="W104">
        <f>IF(cleaned_data!AJ104="Yes",1,0)</f>
        <v>1</v>
      </c>
      <c r="X104" s="2" cm="1">
        <f t="array" ref="X104">_xlfn.IFS(cleaned_data!AM104="Yes", 1,
cleaned_data!AM104="No", 0,
cleaned_data!AM104="Unknown", "")</f>
        <v>0</v>
      </c>
      <c r="Y104" cm="1">
        <f t="array" ref="Y104">_xlfn.IFS(cleaned_data!AK104="Solar", 1,
cleaned_data!AK104="Generator", 0.75,
cleaned_data!AK104="Eskom grid", 0.5,
TRUE, "")</f>
        <v>0.5</v>
      </c>
      <c r="Z104" cm="1">
        <f t="array" ref="Z104">_xlfn.IFS(cleaned_data!AL104="", "",
cleaned_data!AL104&lt;=8, 1,
cleaned_data!AL104&lt;=14, 0.75,
cleaned_data!AL104&lt;=21, 0.5,
cleaned_data!AL104&gt;=22, 0.25)</f>
        <v>0.5</v>
      </c>
      <c r="AA104" cm="1">
        <f t="array" ref="AA104">_xlfn.IFS(cleaned_data!AH104=0, 1,
cleaned_data!AH104=1, 0.75,
cleaned_data!AH104=2, 0.5,
cleaned_data!AH104&gt;=3, 0.25)</f>
        <v>0.25</v>
      </c>
      <c r="AB104" cm="1">
        <f t="array" ref="AB104">_xlfn.IFS(cleaned_data!AO104="", "",
cleaned_data!AO104&gt;=50, 1,
cleaned_data!AO104&gt;=30, 0.75,
cleaned_data!AO104&gt;=10, 0.5,
cleaned_data!AO104&lt;10, 0.25)</f>
        <v>1</v>
      </c>
      <c r="AC104" cm="1">
        <f t="array" ref="AC104">_xlfn.IFS(cleaned_data!AP104&gt;=50,1, cleaned_data!AP104&gt;=30,0.75, cleaned_data!AP104&gt;=10,0.5, cleaned_data!AP104&lt;10,0.25)</f>
        <v>0.75</v>
      </c>
      <c r="AD104" cm="1">
        <f t="array" ref="AD104">_xlfn.IFS(cleaned_data!AQ104&gt;=30,1,
cleaned_data!AQ104&gt;=20,0.75,
cleaned_data!AQ104&gt;=10,0.5,
cleaned_data!AQ104&lt;10,0.25)</f>
        <v>0.5</v>
      </c>
      <c r="AE104" cm="1">
        <f t="array" ref="AE104">_xlfn.IFS(cleaned_data!AR104&gt;=75,1,
cleaned_data!AR104&gt;=50,0.75,
cleaned_data!AR104&gt;=25,0.5,
cleaned_data!AR104&lt;25,0.25)</f>
        <v>0.75</v>
      </c>
      <c r="AF104">
        <f>IF(cleaned_data!AS104="Yes",1,0)</f>
        <v>0</v>
      </c>
    </row>
    <row r="105" spans="1:32" x14ac:dyDescent="0.35">
      <c r="A105" t="s">
        <v>165</v>
      </c>
      <c r="B105" t="s">
        <v>164</v>
      </c>
      <c r="C105">
        <f>IF(cleaned_data!K105="Registered",1,0)</f>
        <v>0</v>
      </c>
      <c r="D105">
        <f>IF(cleaned_data!L105="Yes",1,0)</f>
        <v>0</v>
      </c>
      <c r="E105">
        <f>IF(cleaned_data!M105="Yes",1,0)</f>
        <v>0</v>
      </c>
      <c r="F105">
        <f>IF(cleaned_data!O105="Unknown","",IF(cleaned_data!O105="Yes",1,0))</f>
        <v>1</v>
      </c>
      <c r="G105" cm="1">
        <f t="array" ref="G105">_xlfn.IFS(cleaned_data!N105="Owned",1,cleaned_data!N105="Leased",0.75,cleaned_data!N105="State land",0.5,cleaned_data!N105="Communal",0.25)</f>
        <v>0.75</v>
      </c>
      <c r="H105" s="2" cm="1">
        <f t="array" ref="H105">_xlfn.IFS(cleaned_data!G105&gt;=10,1,cleaned_data!G105&gt;=5,0.75,cleaned_data!G105&gt;=2,0.5,TRUE,0.25)</f>
        <v>1</v>
      </c>
      <c r="I105">
        <f>IF(cleaned_data!P105="None",0,1)</f>
        <v>0</v>
      </c>
      <c r="J105" s="2" cm="1">
        <f t="array" ref="J105">_xlfn.IFS(cleaned_data!H105&gt;=20,1,cleaned_data!H105&gt;=10,0.75,cleaned_data!H105&gt;=5,0.5,cleaned_data!H105&gt;=1,0.25,TRUE,0)</f>
        <v>0.75</v>
      </c>
      <c r="K105" cm="1">
        <f t="array" ref="K105">_xlfn.IFS(cleaned_data!Q105&gt;=100000,1,cleaned_data!Q105&gt;=50000,0.75,cleaned_data!Q105&gt;=10000,0.5,TRUE,0.25)</f>
        <v>1</v>
      </c>
      <c r="L105" cm="1">
        <f t="array" ref="L105">_xlfn.IFS(cleaned_data!T105="","",cleaned_data!T105&lt;=10,1,cleaned_data!T105&lt;=25,0.75,cleaned_data!T105&lt;=40,0.5, cleaned_data!T105&gt;40,0.25)</f>
        <v>0.5</v>
      </c>
      <c r="M105">
        <f>IF(cleaned_data!U105="Yes",1,0)</f>
        <v>0</v>
      </c>
      <c r="N105" cm="1">
        <f t="array" ref="N105">_xlfn.IFS(cleaned_data!V105="Unknown","",cleaned_data!V105="Yes",1,TRUE,0)</f>
        <v>0</v>
      </c>
      <c r="O105" cm="1">
        <f t="array" ref="O105">_xlfn.IFS(cleaned_data!S105&gt;=4,1,cleaned_data!S105=3,0.75,cleaned_data!S105=2,0.5,cleaned_data!S105=1,0.25,TRUE,0)</f>
        <v>0.5</v>
      </c>
      <c r="P105" cm="1">
        <f t="array" ref="P105">_xlfn.IFS(cleaned_data!AB105&gt;=50,1,cleaned_data!AB105&gt;=35,0.75,cleaned_data!AB105&gt;=20,0.5,TRUE,0.25)</f>
        <v>0.5</v>
      </c>
      <c r="Q105" cm="1">
        <f t="array" ref="Q105">_xlfn.IFS(cleaned_data!X105&gt;=5,1,cleaned_data!X105&gt;=3,0.75,cleaned_data!X105=2,0.5,cleaned_data!X105=1,0.25,TRUE,0)</f>
        <v>0.5</v>
      </c>
      <c r="R105">
        <f>IF(cleaned_data!Y105="Yes",1,0)</f>
        <v>1</v>
      </c>
      <c r="S105">
        <f>IF(OR(cleaned_data!AF105="GlobalG.A.P.",cleaned_data!AF105="Fairtrade",cleaned_data!AF105="Organic (CERES)"),1,
IF(OR(cleaned_data!AF105="SIZA",cleaned_data!AF105="Woolworths TNC",cleaned_data!AF105="Checkers Good Farming"),0.75,
IF(cleaned_data!AF105="No Certificate",0,
IF(cleaned_data!AF105="Unknown","",""))))</f>
        <v>0.75</v>
      </c>
      <c r="T105">
        <f>IF(cleaned_data!AG105="Yes",1,0)</f>
        <v>0</v>
      </c>
      <c r="U105">
        <f>IF(OR(cleaned_data!AD105="No Loan",cleaned_data!AD105="Settled",cleaned_data!AD105="Current"),1,
IF(cleaned_data!AD105="In Arrears",0.5,
IF(cleaned_data!AD105="Defaulted",0,
IF(cleaned_data!AD105="Unknown","",""))))</f>
        <v>1</v>
      </c>
      <c r="V105" cm="1">
        <f t="array" ref="V105">_xlfn.IFS(cleaned_data!AE105&lt;=0.2,1,
cleaned_data!AE105&lt;=0.5,0.75,
cleaned_data!AE105&lt;=1,0.5,
cleaned_data!AE105&gt;1,0.25)</f>
        <v>1</v>
      </c>
      <c r="W105">
        <f>IF(cleaned_data!AJ105="Yes",1,0)</f>
        <v>1</v>
      </c>
      <c r="X105" s="2" cm="1">
        <f t="array" ref="X105">_xlfn.IFS(cleaned_data!AM105="Yes", 1,
cleaned_data!AM105="No", 0,
cleaned_data!AM105="Unknown", "")</f>
        <v>0</v>
      </c>
      <c r="Y105" cm="1">
        <f t="array" ref="Y105">_xlfn.IFS(cleaned_data!AK105="Solar", 1,
cleaned_data!AK105="Generator", 0.75,
cleaned_data!AK105="Eskom grid", 0.5,
TRUE, "")</f>
        <v>0.5</v>
      </c>
      <c r="Z105" cm="1">
        <f t="array" ref="Z105">_xlfn.IFS(cleaned_data!AL105="", "",
cleaned_data!AL105&lt;=8, 1,
cleaned_data!AL105&lt;=14, 0.75,
cleaned_data!AL105&lt;=21, 0.5,
cleaned_data!AL105&gt;=22, 0.25)</f>
        <v>0.75</v>
      </c>
      <c r="AA105" cm="1">
        <f t="array" ref="AA105">_xlfn.IFS(cleaned_data!AH105=0, 1,
cleaned_data!AH105=1, 0.75,
cleaned_data!AH105=2, 0.5,
cleaned_data!AH105&gt;=3, 0.25)</f>
        <v>1</v>
      </c>
      <c r="AB105" cm="1">
        <f t="array" ref="AB105">_xlfn.IFS(cleaned_data!AO105="", "",
cleaned_data!AO105&gt;=50, 1,
cleaned_data!AO105&gt;=30, 0.75,
cleaned_data!AO105&gt;=10, 0.5,
cleaned_data!AO105&lt;10, 0.25)</f>
        <v>1</v>
      </c>
      <c r="AC105" cm="1">
        <f t="array" ref="AC105">_xlfn.IFS(cleaned_data!AP105&gt;=50,1, cleaned_data!AP105&gt;=30,0.75, cleaned_data!AP105&gt;=10,0.5, cleaned_data!AP105&lt;10,0.25)</f>
        <v>0.75</v>
      </c>
      <c r="AD105" cm="1">
        <f t="array" ref="AD105">_xlfn.IFS(cleaned_data!AQ105&gt;=30,1,
cleaned_data!AQ105&gt;=20,0.75,
cleaned_data!AQ105&gt;=10,0.5,
cleaned_data!AQ105&lt;10,0.25)</f>
        <v>1</v>
      </c>
      <c r="AE105" cm="1">
        <f t="array" ref="AE105">_xlfn.IFS(cleaned_data!AR105&gt;=75,1,
cleaned_data!AR105&gt;=50,0.75,
cleaned_data!AR105&gt;=25,0.5,
cleaned_data!AR105&lt;25,0.25)</f>
        <v>0.75</v>
      </c>
      <c r="AF105">
        <f>IF(cleaned_data!AS105="Yes",1,0)</f>
        <v>0</v>
      </c>
    </row>
    <row r="106" spans="1:32" hidden="1" x14ac:dyDescent="0.35">
      <c r="A106" t="s">
        <v>162</v>
      </c>
      <c r="B106" t="s">
        <v>161</v>
      </c>
      <c r="C106">
        <f>IF(cleaned_data!K106="Registered",1,0)</f>
        <v>1</v>
      </c>
      <c r="D106">
        <f>IF(cleaned_data!L106="Yes",1,0)</f>
        <v>0</v>
      </c>
      <c r="E106">
        <f>IF(cleaned_data!M106="Yes",1,0)</f>
        <v>0</v>
      </c>
      <c r="F106">
        <f>IF(cleaned_data!O106="Unknown","",IF(cleaned_data!O106="Yes",1,0))</f>
        <v>1</v>
      </c>
      <c r="G106" cm="1">
        <f t="array" ref="G106">_xlfn.IFS(cleaned_data!N106="Owned",1,cleaned_data!N106="Leased",0.75,cleaned_data!N106="State land",0.5,cleaned_data!N106="Communal",0.25)</f>
        <v>1</v>
      </c>
      <c r="H106" s="2" cm="1">
        <f t="array" ref="H106">_xlfn.IFS(cleaned_data!G106&gt;=10,1,cleaned_data!G106&gt;=5,0.75,cleaned_data!G106&gt;=2,0.5,TRUE,0.25)</f>
        <v>1</v>
      </c>
      <c r="I106">
        <f>IF(cleaned_data!P106="None",0,1)</f>
        <v>1</v>
      </c>
      <c r="J106" s="2" cm="1">
        <f t="array" ref="J106">_xlfn.IFS(cleaned_data!H106&gt;=20,1,cleaned_data!H106&gt;=10,0.75,cleaned_data!H106&gt;=5,0.5,cleaned_data!H106&gt;=1,0.25,TRUE,0)</f>
        <v>1</v>
      </c>
      <c r="K106" cm="1">
        <f t="array" ref="K106">_xlfn.IFS(cleaned_data!Q106&gt;=100000,1,cleaned_data!Q106&gt;=50000,0.75,cleaned_data!Q106&gt;=10000,0.5,TRUE,0.25)</f>
        <v>1</v>
      </c>
      <c r="L106" cm="1">
        <f t="array" ref="L106">_xlfn.IFS(cleaned_data!T106="","",cleaned_data!T106&lt;=10,1,cleaned_data!T106&lt;=25,0.75,cleaned_data!T106&lt;=40,0.5, cleaned_data!T106&gt;40,0.25)</f>
        <v>0.5</v>
      </c>
      <c r="M106">
        <f>IF(cleaned_data!U106="Yes",1,0)</f>
        <v>0</v>
      </c>
      <c r="N106" cm="1">
        <f t="array" ref="N106">_xlfn.IFS(cleaned_data!V106="Unknown","",cleaned_data!V106="Yes",1,TRUE,0)</f>
        <v>0</v>
      </c>
      <c r="O106" cm="1">
        <f t="array" ref="O106">_xlfn.IFS(cleaned_data!S106&gt;=4,1,cleaned_data!S106=3,0.75,cleaned_data!S106=2,0.5,cleaned_data!S106=1,0.25,TRUE,0)</f>
        <v>0.5</v>
      </c>
      <c r="P106" cm="1">
        <f t="array" ref="P106">_xlfn.IFS(cleaned_data!AB106&gt;=50,1,cleaned_data!AB106&gt;=35,0.75,cleaned_data!AB106&gt;=20,0.5,TRUE,0.25)</f>
        <v>0.75</v>
      </c>
      <c r="Q106" cm="1">
        <f t="array" ref="Q106">_xlfn.IFS(cleaned_data!X106&gt;=5,1,cleaned_data!X106&gt;=3,0.75,cleaned_data!X106=2,0.5,cleaned_data!X106=1,0.25,TRUE,0)</f>
        <v>0.75</v>
      </c>
      <c r="R106">
        <f>IF(cleaned_data!Y106="Yes",1,0)</f>
        <v>0</v>
      </c>
      <c r="S106" t="str">
        <f>IF(OR(cleaned_data!AF106="GlobalG.A.P.",cleaned_data!AF106="Fairtrade",cleaned_data!AF106="Organic (CERES)"),1,
IF(OR(cleaned_data!AF106="SIZA",cleaned_data!AF106="Woolworths TNC",cleaned_data!AF106="Checkers Good Farming"),0.75,
IF(cleaned_data!AF106="No Certificate",0,
IF(cleaned_data!AF106="Unknown","",""))))</f>
        <v/>
      </c>
      <c r="T106">
        <f>IF(cleaned_data!AG106="Yes",1,0)</f>
        <v>0</v>
      </c>
      <c r="U106">
        <f>IF(OR(cleaned_data!AD106="No Loan",cleaned_data!AD106="Settled",cleaned_data!AD106="Current"),1,
IF(cleaned_data!AD106="In Arrears",0.5,
IF(cleaned_data!AD106="Defaulted",0,
IF(cleaned_data!AD106="Unknown","",""))))</f>
        <v>1</v>
      </c>
      <c r="V106" cm="1">
        <f t="array" ref="V106">_xlfn.IFS(cleaned_data!AE106&lt;=0.2,1,
cleaned_data!AE106&lt;=0.5,0.75,
cleaned_data!AE106&lt;=1,0.5,
cleaned_data!AE106&gt;1,0.25)</f>
        <v>1</v>
      </c>
      <c r="W106">
        <f>IF(cleaned_data!AJ106="Yes",1,0)</f>
        <v>1</v>
      </c>
      <c r="X106" s="2" cm="1">
        <f t="array" ref="X106">_xlfn.IFS(cleaned_data!AM106="Yes", 1,
cleaned_data!AM106="No", 0,
cleaned_data!AM106="Unknown", "")</f>
        <v>0</v>
      </c>
      <c r="Y106" cm="1">
        <f t="array" ref="Y106">_xlfn.IFS(cleaned_data!AK106="Solar", 1,
cleaned_data!AK106="Generator", 0.75,
cleaned_data!AK106="Eskom grid", 0.5,
TRUE, "")</f>
        <v>0.5</v>
      </c>
      <c r="Z106" cm="1">
        <f t="array" ref="Z106">_xlfn.IFS(cleaned_data!AL106="", "",
cleaned_data!AL106&lt;=8, 1,
cleaned_data!AL106&lt;=14, 0.75,
cleaned_data!AL106&lt;=21, 0.5,
cleaned_data!AL106&gt;=22, 0.25)</f>
        <v>0.5</v>
      </c>
      <c r="AA106" cm="1">
        <f t="array" ref="AA106">_xlfn.IFS(cleaned_data!AH106=0, 1,
cleaned_data!AH106=1, 0.75,
cleaned_data!AH106=2, 0.5,
cleaned_data!AH106&gt;=3, 0.25)</f>
        <v>0.25</v>
      </c>
      <c r="AB106" cm="1">
        <f t="array" ref="AB106">_xlfn.IFS(cleaned_data!AO106="", "",
cleaned_data!AO106&gt;=50, 1,
cleaned_data!AO106&gt;=30, 0.75,
cleaned_data!AO106&gt;=10, 0.5,
cleaned_data!AO106&lt;10, 0.25)</f>
        <v>0.75</v>
      </c>
      <c r="AC106" cm="1">
        <f t="array" ref="AC106">_xlfn.IFS(cleaned_data!AP106&gt;=50,1, cleaned_data!AP106&gt;=30,0.75, cleaned_data!AP106&gt;=10,0.5, cleaned_data!AP106&lt;10,0.25)</f>
        <v>0.75</v>
      </c>
      <c r="AD106" cm="1">
        <f t="array" ref="AD106">_xlfn.IFS(cleaned_data!AQ106&gt;=30,1,
cleaned_data!AQ106&gt;=20,0.75,
cleaned_data!AQ106&gt;=10,0.5,
cleaned_data!AQ106&lt;10,0.25)</f>
        <v>0.25</v>
      </c>
      <c r="AE106" cm="1">
        <f t="array" ref="AE106">_xlfn.IFS(cleaned_data!AR106&gt;=75,1,
cleaned_data!AR106&gt;=50,0.75,
cleaned_data!AR106&gt;=25,0.5,
cleaned_data!AR106&lt;25,0.25)</f>
        <v>0.75</v>
      </c>
      <c r="AF106">
        <f>IF(cleaned_data!AS106="Yes",1,0)</f>
        <v>0</v>
      </c>
    </row>
    <row r="107" spans="1:32" hidden="1" x14ac:dyDescent="0.35">
      <c r="A107" t="s">
        <v>157</v>
      </c>
      <c r="B107" t="s">
        <v>156</v>
      </c>
      <c r="C107">
        <f>IF(cleaned_data!K107="Registered",1,0)</f>
        <v>0</v>
      </c>
      <c r="D107">
        <f>IF(cleaned_data!L107="Yes",1,0)</f>
        <v>0</v>
      </c>
      <c r="E107">
        <f>IF(cleaned_data!M107="Yes",1,0)</f>
        <v>0</v>
      </c>
      <c r="F107">
        <f>IF(cleaned_data!O107="Unknown","",IF(cleaned_data!O107="Yes",1,0))</f>
        <v>0</v>
      </c>
      <c r="G107" cm="1">
        <f t="array" ref="G107">_xlfn.IFS(cleaned_data!N107="Owned",1,cleaned_data!N107="Leased",0.75,cleaned_data!N107="State land",0.5,cleaned_data!N107="Communal",0.25)</f>
        <v>0.5</v>
      </c>
      <c r="H107" s="2" cm="1">
        <f t="array" ref="H107">_xlfn.IFS(cleaned_data!G107&gt;=10,1,cleaned_data!G107&gt;=5,0.75,cleaned_data!G107&gt;=2,0.5,TRUE,0.25)</f>
        <v>1</v>
      </c>
      <c r="I107">
        <f>IF(cleaned_data!P107="None",0,1)</f>
        <v>1</v>
      </c>
      <c r="J107" s="2" cm="1">
        <f t="array" ref="J107">_xlfn.IFS(cleaned_data!H107&gt;=20,1,cleaned_data!H107&gt;=10,0.75,cleaned_data!H107&gt;=5,0.5,cleaned_data!H107&gt;=1,0.25,TRUE,0)</f>
        <v>1</v>
      </c>
      <c r="K107" cm="1">
        <f t="array" ref="K107">_xlfn.IFS(cleaned_data!Q107&gt;=100000,1,cleaned_data!Q107&gt;=50000,0.75,cleaned_data!Q107&gt;=10000,0.5,TRUE,0.25)</f>
        <v>1</v>
      </c>
      <c r="L107" cm="1">
        <f t="array" ref="L107">_xlfn.IFS(cleaned_data!T107="","",cleaned_data!T107&lt;=10,1,cleaned_data!T107&lt;=25,0.75,cleaned_data!T107&lt;=40,0.5, cleaned_data!T107&gt;40,0.25)</f>
        <v>0.5</v>
      </c>
      <c r="M107">
        <f>IF(cleaned_data!U107="Yes",1,0)</f>
        <v>1</v>
      </c>
      <c r="N107" cm="1">
        <f t="array" ref="N107">_xlfn.IFS(cleaned_data!V107="Unknown","",cleaned_data!V107="Yes",1,TRUE,0)</f>
        <v>1</v>
      </c>
      <c r="O107" cm="1">
        <f t="array" ref="O107">_xlfn.IFS(cleaned_data!S107&gt;=4,1,cleaned_data!S107=3,0.75,cleaned_data!S107=2,0.5,cleaned_data!S107=1,0.25,TRUE,0)</f>
        <v>1</v>
      </c>
      <c r="P107" cm="1">
        <f t="array" ref="P107">_xlfn.IFS(cleaned_data!AB107&gt;=50,1,cleaned_data!AB107&gt;=35,0.75,cleaned_data!AB107&gt;=20,0.5,TRUE,0.25)</f>
        <v>0.75</v>
      </c>
      <c r="Q107" cm="1">
        <f t="array" ref="Q107">_xlfn.IFS(cleaned_data!X107&gt;=5,1,cleaned_data!X107&gt;=3,0.75,cleaned_data!X107=2,0.5,cleaned_data!X107=1,0.25,TRUE,0)</f>
        <v>1</v>
      </c>
      <c r="R107">
        <f>IF(cleaned_data!Y107="Yes",1,0)</f>
        <v>0</v>
      </c>
      <c r="S107">
        <f>IF(OR(cleaned_data!AF107="GlobalG.A.P.",cleaned_data!AF107="Fairtrade",cleaned_data!AF107="Organic (CERES)"),1,
IF(OR(cleaned_data!AF107="SIZA",cleaned_data!AF107="Woolworths TNC",cleaned_data!AF107="Checkers Good Farming"),0.75,
IF(cleaned_data!AF107="No Certificate",0,
IF(cleaned_data!AF107="Unknown","",""))))</f>
        <v>0.75</v>
      </c>
      <c r="T107">
        <f>IF(cleaned_data!AG107="Yes",1,0)</f>
        <v>0</v>
      </c>
      <c r="U107">
        <f>IF(OR(cleaned_data!AD107="No Loan",cleaned_data!AD107="Settled",cleaned_data!AD107="Current"),1,
IF(cleaned_data!AD107="In Arrears",0.5,
IF(cleaned_data!AD107="Defaulted",0,
IF(cleaned_data!AD107="Unknown","",""))))</f>
        <v>1</v>
      </c>
      <c r="V107" cm="1">
        <f t="array" ref="V107">_xlfn.IFS(cleaned_data!AE107&lt;=0.2,1,
cleaned_data!AE107&lt;=0.5,0.75,
cleaned_data!AE107&lt;=1,0.5,
cleaned_data!AE107&gt;1,0.25)</f>
        <v>1</v>
      </c>
      <c r="W107">
        <f>IF(cleaned_data!AJ107="Yes",1,0)</f>
        <v>1</v>
      </c>
      <c r="X107" s="2" cm="1">
        <f t="array" ref="X107">_xlfn.IFS(cleaned_data!AM107="Yes", 1,
cleaned_data!AM107="No", 0,
cleaned_data!AM107="Unknown", "")</f>
        <v>1</v>
      </c>
      <c r="Y107" cm="1">
        <f t="array" ref="Y107">_xlfn.IFS(cleaned_data!AK107="Solar", 1,
cleaned_data!AK107="Generator", 0.75,
cleaned_data!AK107="Eskom grid", 0.5,
TRUE, "")</f>
        <v>0.5</v>
      </c>
      <c r="Z107" cm="1">
        <f t="array" ref="Z107">_xlfn.IFS(cleaned_data!AL107="", "",
cleaned_data!AL107&lt;=8, 1,
cleaned_data!AL107&lt;=14, 0.75,
cleaned_data!AL107&lt;=21, 0.5,
cleaned_data!AL107&gt;=22, 0.25)</f>
        <v>0.75</v>
      </c>
      <c r="AA107" cm="1">
        <f t="array" ref="AA107">_xlfn.IFS(cleaned_data!AH107=0, 1,
cleaned_data!AH107=1, 0.75,
cleaned_data!AH107=2, 0.5,
cleaned_data!AH107&gt;=3, 0.25)</f>
        <v>0.25</v>
      </c>
      <c r="AB107" cm="1">
        <f t="array" ref="AB107">_xlfn.IFS(cleaned_data!AO107="", "",
cleaned_data!AO107&gt;=50, 1,
cleaned_data!AO107&gt;=30, 0.75,
cleaned_data!AO107&gt;=10, 0.5,
cleaned_data!AO107&lt;10, 0.25)</f>
        <v>0.25</v>
      </c>
      <c r="AC107" cm="1">
        <f t="array" ref="AC107">_xlfn.IFS(cleaned_data!AP107&gt;=50,1, cleaned_data!AP107&gt;=30,0.75, cleaned_data!AP107&gt;=10,0.5, cleaned_data!AP107&lt;10,0.25)</f>
        <v>1</v>
      </c>
      <c r="AD107" cm="1">
        <f t="array" ref="AD107">_xlfn.IFS(cleaned_data!AQ107&gt;=30,1,
cleaned_data!AQ107&gt;=20,0.75,
cleaned_data!AQ107&gt;=10,0.5,
cleaned_data!AQ107&lt;10,0.25)</f>
        <v>0.75</v>
      </c>
      <c r="AE107" cm="1">
        <f t="array" ref="AE107">_xlfn.IFS(cleaned_data!AR107&gt;=75,1,
cleaned_data!AR107&gt;=50,0.75,
cleaned_data!AR107&gt;=25,0.5,
cleaned_data!AR107&lt;25,0.25)</f>
        <v>0.75</v>
      </c>
      <c r="AF107">
        <f>IF(cleaned_data!AS107="Yes",1,0)</f>
        <v>0</v>
      </c>
    </row>
    <row r="108" spans="1:32" hidden="1" x14ac:dyDescent="0.35">
      <c r="A108" t="s">
        <v>155</v>
      </c>
      <c r="B108" t="s">
        <v>154</v>
      </c>
      <c r="C108">
        <f>IF(cleaned_data!K108="Registered",1,0)</f>
        <v>0</v>
      </c>
      <c r="D108">
        <f>IF(cleaned_data!L108="Yes",1,0)</f>
        <v>0</v>
      </c>
      <c r="E108">
        <f>IF(cleaned_data!M108="Yes",1,0)</f>
        <v>1</v>
      </c>
      <c r="F108">
        <f>IF(cleaned_data!O108="Unknown","",IF(cleaned_data!O108="Yes",1,0))</f>
        <v>1</v>
      </c>
      <c r="G108" cm="1">
        <f t="array" ref="G108">_xlfn.IFS(cleaned_data!N108="Owned",1,cleaned_data!N108="Leased",0.75,cleaned_data!N108="State land",0.5,cleaned_data!N108="Communal",0.25)</f>
        <v>0.75</v>
      </c>
      <c r="H108" s="2" cm="1">
        <f t="array" ref="H108">_xlfn.IFS(cleaned_data!G108&gt;=10,1,cleaned_data!G108&gt;=5,0.75,cleaned_data!G108&gt;=2,0.5,TRUE,0.25)</f>
        <v>1</v>
      </c>
      <c r="I108">
        <f>IF(cleaned_data!P108="None",0,1)</f>
        <v>1</v>
      </c>
      <c r="J108" s="2" cm="1">
        <f t="array" ref="J108">_xlfn.IFS(cleaned_data!H108&gt;=20,1,cleaned_data!H108&gt;=10,0.75,cleaned_data!H108&gt;=5,0.5,cleaned_data!H108&gt;=1,0.25,TRUE,0)</f>
        <v>1</v>
      </c>
      <c r="K108" cm="1">
        <f t="array" ref="K108">_xlfn.IFS(cleaned_data!Q108&gt;=100000,1,cleaned_data!Q108&gt;=50000,0.75,cleaned_data!Q108&gt;=10000,0.5,TRUE,0.25)</f>
        <v>1</v>
      </c>
      <c r="L108" cm="1">
        <f t="array" ref="L108">_xlfn.IFS(cleaned_data!T108="","",cleaned_data!T108&lt;=10,1,cleaned_data!T108&lt;=25,0.75,cleaned_data!T108&lt;=40,0.5, cleaned_data!T108&gt;40,0.25)</f>
        <v>0.5</v>
      </c>
      <c r="M108">
        <f>IF(cleaned_data!U108="Yes",1,0)</f>
        <v>0</v>
      </c>
      <c r="N108" cm="1">
        <f t="array" ref="N108">_xlfn.IFS(cleaned_data!V108="Unknown","",cleaned_data!V108="Yes",1,TRUE,0)</f>
        <v>0</v>
      </c>
      <c r="O108" cm="1">
        <f t="array" ref="O108">_xlfn.IFS(cleaned_data!S108&gt;=4,1,cleaned_data!S108=3,0.75,cleaned_data!S108=2,0.5,cleaned_data!S108=1,0.25,TRUE,0)</f>
        <v>1</v>
      </c>
      <c r="P108" cm="1">
        <f t="array" ref="P108">_xlfn.IFS(cleaned_data!AB108&gt;=50,1,cleaned_data!AB108&gt;=35,0.75,cleaned_data!AB108&gt;=20,0.5,TRUE,0.25)</f>
        <v>0.5</v>
      </c>
      <c r="Q108" cm="1">
        <f t="array" ref="Q108">_xlfn.IFS(cleaned_data!X108&gt;=5,1,cleaned_data!X108&gt;=3,0.75,cleaned_data!X108=2,0.5,cleaned_data!X108=1,0.25,TRUE,0)</f>
        <v>0.75</v>
      </c>
      <c r="R108">
        <f>IF(cleaned_data!Y108="Yes",1,0)</f>
        <v>1</v>
      </c>
      <c r="S108" t="str">
        <f>IF(OR(cleaned_data!AF108="GlobalG.A.P.",cleaned_data!AF108="Fairtrade",cleaned_data!AF108="Organic (CERES)"),1,
IF(OR(cleaned_data!AF108="SIZA",cleaned_data!AF108="Woolworths TNC",cleaned_data!AF108="Checkers Good Farming"),0.75,
IF(cleaned_data!AF108="No Certificate",0,
IF(cleaned_data!AF108="Unknown","",""))))</f>
        <v/>
      </c>
      <c r="T108">
        <f>IF(cleaned_data!AG108="Yes",1,0)</f>
        <v>0</v>
      </c>
      <c r="U108">
        <f>IF(OR(cleaned_data!AD108="No Loan",cleaned_data!AD108="Settled",cleaned_data!AD108="Current"),1,
IF(cleaned_data!AD108="In Arrears",0.5,
IF(cleaned_data!AD108="Defaulted",0,
IF(cleaned_data!AD108="Unknown","",""))))</f>
        <v>1</v>
      </c>
      <c r="V108" cm="1">
        <f t="array" ref="V108">_xlfn.IFS(cleaned_data!AE108&lt;=0.2,1,
cleaned_data!AE108&lt;=0.5,0.75,
cleaned_data!AE108&lt;=1,0.5,
cleaned_data!AE108&gt;1,0.25)</f>
        <v>1</v>
      </c>
      <c r="W108">
        <f>IF(cleaned_data!AJ108="Yes",1,0)</f>
        <v>0</v>
      </c>
      <c r="X108" s="2" t="str" cm="1">
        <f t="array" ref="X108">_xlfn.IFS(cleaned_data!AM108="Yes", 1,
cleaned_data!AM108="No", 0,
cleaned_data!AM108="Unknown", "")</f>
        <v/>
      </c>
      <c r="Y108" cm="1">
        <f t="array" ref="Y108">_xlfn.IFS(cleaned_data!AK108="Solar", 1,
cleaned_data!AK108="Generator", 0.75,
cleaned_data!AK108="Eskom grid", 0.5,
TRUE, "")</f>
        <v>0.75</v>
      </c>
      <c r="Z108" cm="1">
        <f t="array" ref="Z108">_xlfn.IFS(cleaned_data!AL108="", "",
cleaned_data!AL108&lt;=8, 1,
cleaned_data!AL108&lt;=14, 0.75,
cleaned_data!AL108&lt;=21, 0.5,
cleaned_data!AL108&gt;=22, 0.25)</f>
        <v>1</v>
      </c>
      <c r="AA108" cm="1">
        <f t="array" ref="AA108">_xlfn.IFS(cleaned_data!AH108=0, 1,
cleaned_data!AH108=1, 0.75,
cleaned_data!AH108=2, 0.5,
cleaned_data!AH108&gt;=3, 0.25)</f>
        <v>0.75</v>
      </c>
      <c r="AB108" cm="1">
        <f t="array" ref="AB108">_xlfn.IFS(cleaned_data!AO108="", "",
cleaned_data!AO108&gt;=50, 1,
cleaned_data!AO108&gt;=30, 0.75,
cleaned_data!AO108&gt;=10, 0.5,
cleaned_data!AO108&lt;10, 0.25)</f>
        <v>0.75</v>
      </c>
      <c r="AC108" cm="1">
        <f t="array" ref="AC108">_xlfn.IFS(cleaned_data!AP108&gt;=50,1, cleaned_data!AP108&gt;=30,0.75, cleaned_data!AP108&gt;=10,0.5, cleaned_data!AP108&lt;10,0.25)</f>
        <v>0.75</v>
      </c>
      <c r="AD108" cm="1">
        <f t="array" ref="AD108">_xlfn.IFS(cleaned_data!AQ108&gt;=30,1,
cleaned_data!AQ108&gt;=20,0.75,
cleaned_data!AQ108&gt;=10,0.5,
cleaned_data!AQ108&lt;10,0.25)</f>
        <v>0.75</v>
      </c>
      <c r="AE108" cm="1">
        <f t="array" ref="AE108">_xlfn.IFS(cleaned_data!AR108&gt;=75,1,
cleaned_data!AR108&gt;=50,0.75,
cleaned_data!AR108&gt;=25,0.5,
cleaned_data!AR108&lt;25,0.25)</f>
        <v>0.75</v>
      </c>
      <c r="AF108">
        <f>IF(cleaned_data!AS108="Yes",1,0)</f>
        <v>0</v>
      </c>
    </row>
    <row r="109" spans="1:32" x14ac:dyDescent="0.35">
      <c r="A109" t="s">
        <v>153</v>
      </c>
      <c r="B109" t="s">
        <v>152</v>
      </c>
      <c r="C109">
        <f>IF(cleaned_data!K109="Registered",1,0)</f>
        <v>0</v>
      </c>
      <c r="D109">
        <f>IF(cleaned_data!L109="Yes",1,0)</f>
        <v>1</v>
      </c>
      <c r="E109">
        <f>IF(cleaned_data!M109="Yes",1,0)</f>
        <v>1</v>
      </c>
      <c r="F109">
        <f>IF(cleaned_data!O109="Unknown","",IF(cleaned_data!O109="Yes",1,0))</f>
        <v>0</v>
      </c>
      <c r="G109" cm="1">
        <f t="array" ref="G109">_xlfn.IFS(cleaned_data!N109="Owned",1,cleaned_data!N109="Leased",0.75,cleaned_data!N109="State land",0.5,cleaned_data!N109="Communal",0.25)</f>
        <v>0.25</v>
      </c>
      <c r="H109" s="2" cm="1">
        <f t="array" ref="H109">_xlfn.IFS(cleaned_data!G109&gt;=10,1,cleaned_data!G109&gt;=5,0.75,cleaned_data!G109&gt;=2,0.5,TRUE,0.25)</f>
        <v>1</v>
      </c>
      <c r="I109">
        <f>IF(cleaned_data!P109="None",0,1)</f>
        <v>1</v>
      </c>
      <c r="J109" s="2" cm="1">
        <f t="array" ref="J109">_xlfn.IFS(cleaned_data!H109&gt;=20,1,cleaned_data!H109&gt;=10,0.75,cleaned_data!H109&gt;=5,0.5,cleaned_data!H109&gt;=1,0.25,TRUE,0)</f>
        <v>1</v>
      </c>
      <c r="K109" cm="1">
        <f t="array" ref="K109">_xlfn.IFS(cleaned_data!Q109&gt;=100000,1,cleaned_data!Q109&gt;=50000,0.75,cleaned_data!Q109&gt;=10000,0.5,TRUE,0.25)</f>
        <v>0.75</v>
      </c>
      <c r="L109" cm="1">
        <f t="array" ref="L109">_xlfn.IFS(cleaned_data!T109="","",cleaned_data!T109&lt;=10,1,cleaned_data!T109&lt;=25,0.75,cleaned_data!T109&lt;=40,0.5, cleaned_data!T109&gt;40,0.25)</f>
        <v>0.75</v>
      </c>
      <c r="M109">
        <f>IF(cleaned_data!U109="Yes",1,0)</f>
        <v>1</v>
      </c>
      <c r="N109" cm="1">
        <f t="array" ref="N109">_xlfn.IFS(cleaned_data!V109="Unknown","",cleaned_data!V109="Yes",1,TRUE,0)</f>
        <v>1</v>
      </c>
      <c r="O109" cm="1">
        <f t="array" ref="O109">_xlfn.IFS(cleaned_data!S109&gt;=4,1,cleaned_data!S109=3,0.75,cleaned_data!S109=2,0.5,cleaned_data!S109=1,0.25,TRUE,0)</f>
        <v>1</v>
      </c>
      <c r="P109" cm="1">
        <f t="array" ref="P109">_xlfn.IFS(cleaned_data!AB109&gt;=50,1,cleaned_data!AB109&gt;=35,0.75,cleaned_data!AB109&gt;=20,0.5,TRUE,0.25)</f>
        <v>0.75</v>
      </c>
      <c r="Q109" cm="1">
        <f t="array" ref="Q109">_xlfn.IFS(cleaned_data!X109&gt;=5,1,cleaned_data!X109&gt;=3,0.75,cleaned_data!X109=2,0.5,cleaned_data!X109=1,0.25,TRUE,0)</f>
        <v>1</v>
      </c>
      <c r="R109">
        <f>IF(cleaned_data!Y109="Yes",1,0)</f>
        <v>0</v>
      </c>
      <c r="S109">
        <f>IF(OR(cleaned_data!AF109="GlobalG.A.P.",cleaned_data!AF109="Fairtrade",cleaned_data!AF109="Organic (CERES)"),1,
IF(OR(cleaned_data!AF109="SIZA",cleaned_data!AF109="Woolworths TNC",cleaned_data!AF109="Checkers Good Farming"),0.75,
IF(cleaned_data!AF109="No Certificate",0,
IF(cleaned_data!AF109="Unknown","",""))))</f>
        <v>1</v>
      </c>
      <c r="T109">
        <f>IF(cleaned_data!AG109="Yes",1,0)</f>
        <v>1</v>
      </c>
      <c r="U109">
        <f>IF(OR(cleaned_data!AD109="No Loan",cleaned_data!AD109="Settled",cleaned_data!AD109="Current"),1,
IF(cleaned_data!AD109="In Arrears",0.5,
IF(cleaned_data!AD109="Defaulted",0,
IF(cleaned_data!AD109="Unknown","",""))))</f>
        <v>1</v>
      </c>
      <c r="V109" cm="1">
        <f t="array" ref="V109">_xlfn.IFS(cleaned_data!AE109&lt;=0.2,1,
cleaned_data!AE109&lt;=0.5,0.75,
cleaned_data!AE109&lt;=1,0.5,
cleaned_data!AE109&gt;1,0.25)</f>
        <v>0.75</v>
      </c>
      <c r="W109">
        <f>IF(cleaned_data!AJ109="Yes",1,0)</f>
        <v>1</v>
      </c>
      <c r="X109" s="2" cm="1">
        <f t="array" ref="X109">_xlfn.IFS(cleaned_data!AM109="Yes", 1,
cleaned_data!AM109="No", 0,
cleaned_data!AM109="Unknown", "")</f>
        <v>1</v>
      </c>
      <c r="Y109" cm="1">
        <f t="array" ref="Y109">_xlfn.IFS(cleaned_data!AK109="Solar", 1,
cleaned_data!AK109="Generator", 0.75,
cleaned_data!AK109="Eskom grid", 0.5,
TRUE, "")</f>
        <v>1</v>
      </c>
      <c r="Z109" cm="1">
        <f t="array" ref="Z109">_xlfn.IFS(cleaned_data!AL109="", "",
cleaned_data!AL109&lt;=8, 1,
cleaned_data!AL109&lt;=14, 0.75,
cleaned_data!AL109&lt;=21, 0.5,
cleaned_data!AL109&gt;=22, 0.25)</f>
        <v>1</v>
      </c>
      <c r="AA109" cm="1">
        <f t="array" ref="AA109">_xlfn.IFS(cleaned_data!AH109=0, 1,
cleaned_data!AH109=1, 0.75,
cleaned_data!AH109=2, 0.5,
cleaned_data!AH109&gt;=3, 0.25)</f>
        <v>0.5</v>
      </c>
      <c r="AB109" cm="1">
        <f t="array" ref="AB109">_xlfn.IFS(cleaned_data!AO109="", "",
cleaned_data!AO109&gt;=50, 1,
cleaned_data!AO109&gt;=30, 0.75,
cleaned_data!AO109&gt;=10, 0.5,
cleaned_data!AO109&lt;10, 0.25)</f>
        <v>1</v>
      </c>
      <c r="AC109" cm="1">
        <f t="array" ref="AC109">_xlfn.IFS(cleaned_data!AP109&gt;=50,1, cleaned_data!AP109&gt;=30,0.75, cleaned_data!AP109&gt;=10,0.5, cleaned_data!AP109&lt;10,0.25)</f>
        <v>1</v>
      </c>
      <c r="AD109" cm="1">
        <f t="array" ref="AD109">_xlfn.IFS(cleaned_data!AQ109&gt;=30,1,
cleaned_data!AQ109&gt;=20,0.75,
cleaned_data!AQ109&gt;=10,0.5,
cleaned_data!AQ109&lt;10,0.25)</f>
        <v>0.75</v>
      </c>
      <c r="AE109" cm="1">
        <f t="array" ref="AE109">_xlfn.IFS(cleaned_data!AR109&gt;=75,1,
cleaned_data!AR109&gt;=50,0.75,
cleaned_data!AR109&gt;=25,0.5,
cleaned_data!AR109&lt;25,0.25)</f>
        <v>0.5</v>
      </c>
      <c r="AF109">
        <f>IF(cleaned_data!AS109="Yes",1,0)</f>
        <v>0</v>
      </c>
    </row>
    <row r="110" spans="1:32" hidden="1" x14ac:dyDescent="0.35">
      <c r="A110" t="s">
        <v>151</v>
      </c>
      <c r="B110" t="s">
        <v>150</v>
      </c>
      <c r="C110">
        <f>IF(cleaned_data!K110="Registered",1,0)</f>
        <v>0</v>
      </c>
      <c r="D110">
        <f>IF(cleaned_data!L110="Yes",1,0)</f>
        <v>1</v>
      </c>
      <c r="E110">
        <f>IF(cleaned_data!M110="Yes",1,0)</f>
        <v>1</v>
      </c>
      <c r="F110">
        <f>IF(cleaned_data!O110="Unknown","",IF(cleaned_data!O110="Yes",1,0))</f>
        <v>1</v>
      </c>
      <c r="G110" cm="1">
        <f t="array" ref="G110">_xlfn.IFS(cleaned_data!N110="Owned",1,cleaned_data!N110="Leased",0.75,cleaned_data!N110="State land",0.5,cleaned_data!N110="Communal",0.25)</f>
        <v>0.75</v>
      </c>
      <c r="H110" s="2" cm="1">
        <f t="array" ref="H110">_xlfn.IFS(cleaned_data!G110&gt;=10,1,cleaned_data!G110&gt;=5,0.75,cleaned_data!G110&gt;=2,0.5,TRUE,0.25)</f>
        <v>1</v>
      </c>
      <c r="I110">
        <f>IF(cleaned_data!P110="None",0,1)</f>
        <v>1</v>
      </c>
      <c r="J110" s="2" cm="1">
        <f t="array" ref="J110">_xlfn.IFS(cleaned_data!H110&gt;=20,1,cleaned_data!H110&gt;=10,0.75,cleaned_data!H110&gt;=5,0.5,cleaned_data!H110&gt;=1,0.25,TRUE,0)</f>
        <v>1</v>
      </c>
      <c r="K110" cm="1">
        <f t="array" ref="K110">_xlfn.IFS(cleaned_data!Q110&gt;=100000,1,cleaned_data!Q110&gt;=50000,0.75,cleaned_data!Q110&gt;=10000,0.5,TRUE,0.25)</f>
        <v>1</v>
      </c>
      <c r="L110" cm="1">
        <f t="array" ref="L110">_xlfn.IFS(cleaned_data!T110="","",cleaned_data!T110&lt;=10,1,cleaned_data!T110&lt;=25,0.75,cleaned_data!T110&lt;=40,0.5, cleaned_data!T110&gt;40,0.25)</f>
        <v>0.75</v>
      </c>
      <c r="M110">
        <f>IF(cleaned_data!U110="Yes",1,0)</f>
        <v>1</v>
      </c>
      <c r="N110" cm="1">
        <f t="array" ref="N110">_xlfn.IFS(cleaned_data!V110="Unknown","",cleaned_data!V110="Yes",1,TRUE,0)</f>
        <v>0</v>
      </c>
      <c r="O110" cm="1">
        <f t="array" ref="O110">_xlfn.IFS(cleaned_data!S110&gt;=4,1,cleaned_data!S110=3,0.75,cleaned_data!S110=2,0.5,cleaned_data!S110=1,0.25,TRUE,0)</f>
        <v>0.75</v>
      </c>
      <c r="P110" cm="1">
        <f t="array" ref="P110">_xlfn.IFS(cleaned_data!AB110&gt;=50,1,cleaned_data!AB110&gt;=35,0.75,cleaned_data!AB110&gt;=20,0.5,TRUE,0.25)</f>
        <v>0.75</v>
      </c>
      <c r="Q110" cm="1">
        <f t="array" ref="Q110">_xlfn.IFS(cleaned_data!X110&gt;=5,1,cleaned_data!X110&gt;=3,0.75,cleaned_data!X110=2,0.5,cleaned_data!X110=1,0.25,TRUE,0)</f>
        <v>0.25</v>
      </c>
      <c r="R110">
        <f>IF(cleaned_data!Y110="Yes",1,0)</f>
        <v>1</v>
      </c>
      <c r="S110">
        <f>IF(OR(cleaned_data!AF110="GlobalG.A.P.",cleaned_data!AF110="Fairtrade",cleaned_data!AF110="Organic (CERES)"),1,
IF(OR(cleaned_data!AF110="SIZA",cleaned_data!AF110="Woolworths TNC",cleaned_data!AF110="Checkers Good Farming"),0.75,
IF(cleaned_data!AF110="No Certificate",0,
IF(cleaned_data!AF110="Unknown","",""))))</f>
        <v>0.75</v>
      </c>
      <c r="T110">
        <f>IF(cleaned_data!AG110="Yes",1,0)</f>
        <v>0</v>
      </c>
      <c r="U110">
        <f>IF(OR(cleaned_data!AD110="No Loan",cleaned_data!AD110="Settled",cleaned_data!AD110="Current"),1,
IF(cleaned_data!AD110="In Arrears",0.5,
IF(cleaned_data!AD110="Defaulted",0,
IF(cleaned_data!AD110="Unknown","",""))))</f>
        <v>1</v>
      </c>
      <c r="V110" cm="1">
        <f t="array" ref="V110">_xlfn.IFS(cleaned_data!AE110&lt;=0.2,1,
cleaned_data!AE110&lt;=0.5,0.75,
cleaned_data!AE110&lt;=1,0.5,
cleaned_data!AE110&gt;1,0.25)</f>
        <v>1</v>
      </c>
      <c r="W110">
        <f>IF(cleaned_data!AJ110="Yes",1,0)</f>
        <v>1</v>
      </c>
      <c r="X110" s="2" t="str" cm="1">
        <f t="array" ref="X110">_xlfn.IFS(cleaned_data!AM110="Yes", 1,
cleaned_data!AM110="No", 0,
cleaned_data!AM110="Unknown", "")</f>
        <v/>
      </c>
      <c r="Y110" cm="1">
        <f t="array" ref="Y110">_xlfn.IFS(cleaned_data!AK110="Solar", 1,
cleaned_data!AK110="Generator", 0.75,
cleaned_data!AK110="Eskom grid", 0.5,
TRUE, "")</f>
        <v>1</v>
      </c>
      <c r="Z110" cm="1">
        <f t="array" ref="Z110">_xlfn.IFS(cleaned_data!AL110="", "",
cleaned_data!AL110&lt;=8, 1,
cleaned_data!AL110&lt;=14, 0.75,
cleaned_data!AL110&lt;=21, 0.5,
cleaned_data!AL110&gt;=22, 0.25)</f>
        <v>1</v>
      </c>
      <c r="AA110" cm="1">
        <f t="array" ref="AA110">_xlfn.IFS(cleaned_data!AH110=0, 1,
cleaned_data!AH110=1, 0.75,
cleaned_data!AH110=2, 0.5,
cleaned_data!AH110&gt;=3, 0.25)</f>
        <v>0.5</v>
      </c>
      <c r="AB110" cm="1">
        <f t="array" ref="AB110">_xlfn.IFS(cleaned_data!AO110="", "",
cleaned_data!AO110&gt;=50, 1,
cleaned_data!AO110&gt;=30, 0.75,
cleaned_data!AO110&gt;=10, 0.5,
cleaned_data!AO110&lt;10, 0.25)</f>
        <v>0.75</v>
      </c>
      <c r="AC110" cm="1">
        <f t="array" ref="AC110">_xlfn.IFS(cleaned_data!AP110&gt;=50,1, cleaned_data!AP110&gt;=30,0.75, cleaned_data!AP110&gt;=10,0.5, cleaned_data!AP110&lt;10,0.25)</f>
        <v>0.75</v>
      </c>
      <c r="AD110" cm="1">
        <f t="array" ref="AD110">_xlfn.IFS(cleaned_data!AQ110&gt;=30,1,
cleaned_data!AQ110&gt;=20,0.75,
cleaned_data!AQ110&gt;=10,0.5,
cleaned_data!AQ110&lt;10,0.25)</f>
        <v>1</v>
      </c>
      <c r="AE110" cm="1">
        <f t="array" ref="AE110">_xlfn.IFS(cleaned_data!AR110&gt;=75,1,
cleaned_data!AR110&gt;=50,0.75,
cleaned_data!AR110&gt;=25,0.5,
cleaned_data!AR110&lt;25,0.25)</f>
        <v>0.5</v>
      </c>
      <c r="AF110">
        <f>IF(cleaned_data!AS110="Yes",1,0)</f>
        <v>1</v>
      </c>
    </row>
    <row r="111" spans="1:32" hidden="1" x14ac:dyDescent="0.35">
      <c r="A111" t="s">
        <v>149</v>
      </c>
      <c r="B111" t="s">
        <v>148</v>
      </c>
      <c r="C111">
        <f>IF(cleaned_data!K111="Registered",1,0)</f>
        <v>1</v>
      </c>
      <c r="D111">
        <f>IF(cleaned_data!L111="Yes",1,0)</f>
        <v>1</v>
      </c>
      <c r="E111">
        <f>IF(cleaned_data!M111="Yes",1,0)</f>
        <v>1</v>
      </c>
      <c r="F111">
        <f>IF(cleaned_data!O111="Unknown","",IF(cleaned_data!O111="Yes",1,0))</f>
        <v>0</v>
      </c>
      <c r="G111" cm="1">
        <f t="array" ref="G111">_xlfn.IFS(cleaned_data!N111="Owned",1,cleaned_data!N111="Leased",0.75,cleaned_data!N111="State land",0.5,cleaned_data!N111="Communal",0.25)</f>
        <v>0.5</v>
      </c>
      <c r="H111" s="2" cm="1">
        <f t="array" ref="H111">_xlfn.IFS(cleaned_data!G111&gt;=10,1,cleaned_data!G111&gt;=5,0.75,cleaned_data!G111&gt;=2,0.5,TRUE,0.25)</f>
        <v>0.75</v>
      </c>
      <c r="I111">
        <f>IF(cleaned_data!P111="None",0,1)</f>
        <v>1</v>
      </c>
      <c r="J111" s="2" cm="1">
        <f t="array" ref="J111">_xlfn.IFS(cleaned_data!H111&gt;=20,1,cleaned_data!H111&gt;=10,0.75,cleaned_data!H111&gt;=5,0.5,cleaned_data!H111&gt;=1,0.25,TRUE,0)</f>
        <v>1</v>
      </c>
      <c r="K111" cm="1">
        <f t="array" ref="K111">_xlfn.IFS(cleaned_data!Q111&gt;=100000,1,cleaned_data!Q111&gt;=50000,0.75,cleaned_data!Q111&gt;=10000,0.5,TRUE,0.25)</f>
        <v>1</v>
      </c>
      <c r="L111" cm="1">
        <f t="array" ref="L111">_xlfn.IFS(cleaned_data!T111="","",cleaned_data!T111&lt;=10,1,cleaned_data!T111&lt;=25,0.75,cleaned_data!T111&lt;=40,0.5, cleaned_data!T111&gt;40,0.25)</f>
        <v>0.75</v>
      </c>
      <c r="M111">
        <f>IF(cleaned_data!U111="Yes",1,0)</f>
        <v>1</v>
      </c>
      <c r="N111" t="str" cm="1">
        <f t="array" ref="N111">_xlfn.IFS(cleaned_data!V111="Unknown","",cleaned_data!V111="Yes",1,TRUE,0)</f>
        <v/>
      </c>
      <c r="O111" cm="1">
        <f t="array" ref="O111">_xlfn.IFS(cleaned_data!S111&gt;=4,1,cleaned_data!S111=3,0.75,cleaned_data!S111=2,0.5,cleaned_data!S111=1,0.25,TRUE,0)</f>
        <v>0.5</v>
      </c>
      <c r="P111" cm="1">
        <f t="array" ref="P111">_xlfn.IFS(cleaned_data!AB111&gt;=50,1,cleaned_data!AB111&gt;=35,0.75,cleaned_data!AB111&gt;=20,0.5,TRUE,0.25)</f>
        <v>1</v>
      </c>
      <c r="Q111" cm="1">
        <f t="array" ref="Q111">_xlfn.IFS(cleaned_data!X111&gt;=5,1,cleaned_data!X111&gt;=3,0.75,cleaned_data!X111=2,0.5,cleaned_data!X111=1,0.25,TRUE,0)</f>
        <v>1</v>
      </c>
      <c r="R111">
        <f>IF(cleaned_data!Y111="Yes",1,0)</f>
        <v>0</v>
      </c>
      <c r="S111">
        <f>IF(OR(cleaned_data!AF111="GlobalG.A.P.",cleaned_data!AF111="Fairtrade",cleaned_data!AF111="Organic (CERES)"),1,
IF(OR(cleaned_data!AF111="SIZA",cleaned_data!AF111="Woolworths TNC",cleaned_data!AF111="Checkers Good Farming"),0.75,
IF(cleaned_data!AF111="No Certificate",0,
IF(cleaned_data!AF111="Unknown","",""))))</f>
        <v>0</v>
      </c>
      <c r="T111">
        <f>IF(cleaned_data!AG111="Yes",1,0)</f>
        <v>1</v>
      </c>
      <c r="U111">
        <f>IF(OR(cleaned_data!AD111="No Loan",cleaned_data!AD111="Settled",cleaned_data!AD111="Current"),1,
IF(cleaned_data!AD111="In Arrears",0.5,
IF(cleaned_data!AD111="Defaulted",0,
IF(cleaned_data!AD111="Unknown","",""))))</f>
        <v>1</v>
      </c>
      <c r="V111" cm="1">
        <f t="array" ref="V111">_xlfn.IFS(cleaned_data!AE111&lt;=0.2,1,
cleaned_data!AE111&lt;=0.5,0.75,
cleaned_data!AE111&lt;=1,0.5,
cleaned_data!AE111&gt;1,0.25)</f>
        <v>1</v>
      </c>
      <c r="W111">
        <f>IF(cleaned_data!AJ111="Yes",1,0)</f>
        <v>1</v>
      </c>
      <c r="X111" s="2" cm="1">
        <f t="array" ref="X111">_xlfn.IFS(cleaned_data!AM111="Yes", 1,
cleaned_data!AM111="No", 0,
cleaned_data!AM111="Unknown", "")</f>
        <v>1</v>
      </c>
      <c r="Y111" cm="1">
        <f t="array" ref="Y111">_xlfn.IFS(cleaned_data!AK111="Solar", 1,
cleaned_data!AK111="Generator", 0.75,
cleaned_data!AK111="Eskom grid", 0.5,
TRUE, "")</f>
        <v>0.5</v>
      </c>
      <c r="Z111" cm="1">
        <f t="array" ref="Z111">_xlfn.IFS(cleaned_data!AL111="", "",
cleaned_data!AL111&lt;=8, 1,
cleaned_data!AL111&lt;=14, 0.75,
cleaned_data!AL111&lt;=21, 0.5,
cleaned_data!AL111&gt;=22, 0.25)</f>
        <v>0.75</v>
      </c>
      <c r="AA111" cm="1">
        <f t="array" ref="AA111">_xlfn.IFS(cleaned_data!AH111=0, 1,
cleaned_data!AH111=1, 0.75,
cleaned_data!AH111=2, 0.5,
cleaned_data!AH111&gt;=3, 0.25)</f>
        <v>0.25</v>
      </c>
      <c r="AB111" cm="1">
        <f t="array" ref="AB111">_xlfn.IFS(cleaned_data!AO111="", "",
cleaned_data!AO111&gt;=50, 1,
cleaned_data!AO111&gt;=30, 0.75,
cleaned_data!AO111&gt;=10, 0.5,
cleaned_data!AO111&lt;10, 0.25)</f>
        <v>0.75</v>
      </c>
      <c r="AC111" cm="1">
        <f t="array" ref="AC111">_xlfn.IFS(cleaned_data!AP111&gt;=50,1, cleaned_data!AP111&gt;=30,0.75, cleaned_data!AP111&gt;=10,0.5, cleaned_data!AP111&lt;10,0.25)</f>
        <v>0.5</v>
      </c>
      <c r="AD111" cm="1">
        <f t="array" ref="AD111">_xlfn.IFS(cleaned_data!AQ111&gt;=30,1,
cleaned_data!AQ111&gt;=20,0.75,
cleaned_data!AQ111&gt;=10,0.5,
cleaned_data!AQ111&lt;10,0.25)</f>
        <v>0.5</v>
      </c>
      <c r="AE111" cm="1">
        <f t="array" ref="AE111">_xlfn.IFS(cleaned_data!AR111&gt;=75,1,
cleaned_data!AR111&gt;=50,0.75,
cleaned_data!AR111&gt;=25,0.5,
cleaned_data!AR111&lt;25,0.25)</f>
        <v>1</v>
      </c>
      <c r="AF111">
        <f>IF(cleaned_data!AS111="Yes",1,0)</f>
        <v>1</v>
      </c>
    </row>
    <row r="112" spans="1:32" x14ac:dyDescent="0.35">
      <c r="A112" t="s">
        <v>147</v>
      </c>
      <c r="B112" t="s">
        <v>146</v>
      </c>
      <c r="C112">
        <f>IF(cleaned_data!K112="Registered",1,0)</f>
        <v>0</v>
      </c>
      <c r="D112">
        <f>IF(cleaned_data!L112="Yes",1,0)</f>
        <v>1</v>
      </c>
      <c r="E112">
        <f>IF(cleaned_data!M112="Yes",1,0)</f>
        <v>0</v>
      </c>
      <c r="F112">
        <f>IF(cleaned_data!O112="Unknown","",IF(cleaned_data!O112="Yes",1,0))</f>
        <v>0</v>
      </c>
      <c r="G112" cm="1">
        <f t="array" ref="G112">_xlfn.IFS(cleaned_data!N112="Owned",1,cleaned_data!N112="Leased",0.75,cleaned_data!N112="State land",0.5,cleaned_data!N112="Communal",0.25)</f>
        <v>0.5</v>
      </c>
      <c r="H112" s="2" cm="1">
        <f t="array" ref="H112">_xlfn.IFS(cleaned_data!G112&gt;=10,1,cleaned_data!G112&gt;=5,0.75,cleaned_data!G112&gt;=2,0.5,TRUE,0.25)</f>
        <v>0.75</v>
      </c>
      <c r="I112">
        <f>IF(cleaned_data!P112="None",0,1)</f>
        <v>1</v>
      </c>
      <c r="J112" s="2" cm="1">
        <f t="array" ref="J112">_xlfn.IFS(cleaned_data!H112&gt;=20,1,cleaned_data!H112&gt;=10,0.75,cleaned_data!H112&gt;=5,0.5,cleaned_data!H112&gt;=1,0.25,TRUE,0)</f>
        <v>1</v>
      </c>
      <c r="K112" cm="1">
        <f t="array" ref="K112">_xlfn.IFS(cleaned_data!Q112&gt;=100000,1,cleaned_data!Q112&gt;=50000,0.75,cleaned_data!Q112&gt;=10000,0.5,TRUE,0.25)</f>
        <v>0.75</v>
      </c>
      <c r="L112" t="str" cm="1">
        <f t="array" ref="L112">_xlfn.IFS(cleaned_data!T112="","",cleaned_data!T112&lt;=10,1,cleaned_data!T112&lt;=25,0.75,cleaned_data!T112&lt;=40,0.5, cleaned_data!T112&gt;40,0.25)</f>
        <v/>
      </c>
      <c r="M112">
        <f>IF(cleaned_data!U112="Yes",1,0)</f>
        <v>1</v>
      </c>
      <c r="N112" cm="1">
        <f t="array" ref="N112">_xlfn.IFS(cleaned_data!V112="Unknown","",cleaned_data!V112="Yes",1,TRUE,0)</f>
        <v>0</v>
      </c>
      <c r="O112" cm="1">
        <f t="array" ref="O112">_xlfn.IFS(cleaned_data!S112&gt;=4,1,cleaned_data!S112=3,0.75,cleaned_data!S112=2,0.5,cleaned_data!S112=1,0.25,TRUE,0)</f>
        <v>1</v>
      </c>
      <c r="P112" cm="1">
        <f t="array" ref="P112">_xlfn.IFS(cleaned_data!AB112&gt;=50,1,cleaned_data!AB112&gt;=35,0.75,cleaned_data!AB112&gt;=20,0.5,TRUE,0.25)</f>
        <v>0.75</v>
      </c>
      <c r="Q112" cm="1">
        <f t="array" ref="Q112">_xlfn.IFS(cleaned_data!X112&gt;=5,1,cleaned_data!X112&gt;=3,0.75,cleaned_data!X112=2,0.5,cleaned_data!X112=1,0.25,TRUE,0)</f>
        <v>0.75</v>
      </c>
      <c r="R112">
        <f>IF(cleaned_data!Y112="Yes",1,0)</f>
        <v>0</v>
      </c>
      <c r="S112">
        <f>IF(OR(cleaned_data!AF112="GlobalG.A.P.",cleaned_data!AF112="Fairtrade",cleaned_data!AF112="Organic (CERES)"),1,
IF(OR(cleaned_data!AF112="SIZA",cleaned_data!AF112="Woolworths TNC",cleaned_data!AF112="Checkers Good Farming"),0.75,
IF(cleaned_data!AF112="No Certificate",0,
IF(cleaned_data!AF112="Unknown","",""))))</f>
        <v>0.75</v>
      </c>
      <c r="T112">
        <f>IF(cleaned_data!AG112="Yes",1,0)</f>
        <v>0</v>
      </c>
      <c r="U112">
        <f>IF(OR(cleaned_data!AD112="No Loan",cleaned_data!AD112="Settled",cleaned_data!AD112="Current"),1,
IF(cleaned_data!AD112="In Arrears",0.5,
IF(cleaned_data!AD112="Defaulted",0,
IF(cleaned_data!AD112="Unknown","",""))))</f>
        <v>1</v>
      </c>
      <c r="V112" cm="1">
        <f t="array" ref="V112">_xlfn.IFS(cleaned_data!AE112&lt;=0.2,1,
cleaned_data!AE112&lt;=0.5,0.75,
cleaned_data!AE112&lt;=1,0.5,
cleaned_data!AE112&gt;1,0.25)</f>
        <v>1</v>
      </c>
      <c r="W112">
        <f>IF(cleaned_data!AJ112="Yes",1,0)</f>
        <v>1</v>
      </c>
      <c r="X112" s="2" cm="1">
        <f t="array" ref="X112">_xlfn.IFS(cleaned_data!AM112="Yes", 1,
cleaned_data!AM112="No", 0,
cleaned_data!AM112="Unknown", "")</f>
        <v>0</v>
      </c>
      <c r="Y112" cm="1">
        <f t="array" ref="Y112">_xlfn.IFS(cleaned_data!AK112="Solar", 1,
cleaned_data!AK112="Generator", 0.75,
cleaned_data!AK112="Eskom grid", 0.5,
TRUE, "")</f>
        <v>0.5</v>
      </c>
      <c r="Z112" cm="1">
        <f t="array" ref="Z112">_xlfn.IFS(cleaned_data!AL112="", "",
cleaned_data!AL112&lt;=8, 1,
cleaned_data!AL112&lt;=14, 0.75,
cleaned_data!AL112&lt;=21, 0.5,
cleaned_data!AL112&gt;=22, 0.25)</f>
        <v>0.5</v>
      </c>
      <c r="AA112" cm="1">
        <f t="array" ref="AA112">_xlfn.IFS(cleaned_data!AH112=0, 1,
cleaned_data!AH112=1, 0.75,
cleaned_data!AH112=2, 0.5,
cleaned_data!AH112&gt;=3, 0.25)</f>
        <v>0.75</v>
      </c>
      <c r="AB112" cm="1">
        <f t="array" ref="AB112">_xlfn.IFS(cleaned_data!AO112="", "",
cleaned_data!AO112&gt;=50, 1,
cleaned_data!AO112&gt;=30, 0.75,
cleaned_data!AO112&gt;=10, 0.5,
cleaned_data!AO112&lt;10, 0.25)</f>
        <v>1</v>
      </c>
      <c r="AC112" cm="1">
        <f t="array" ref="AC112">_xlfn.IFS(cleaned_data!AP112&gt;=50,1, cleaned_data!AP112&gt;=30,0.75, cleaned_data!AP112&gt;=10,0.5, cleaned_data!AP112&lt;10,0.25)</f>
        <v>0.75</v>
      </c>
      <c r="AD112" cm="1">
        <f t="array" ref="AD112">_xlfn.IFS(cleaned_data!AQ112&gt;=30,1,
cleaned_data!AQ112&gt;=20,0.75,
cleaned_data!AQ112&gt;=10,0.5,
cleaned_data!AQ112&lt;10,0.25)</f>
        <v>0.25</v>
      </c>
      <c r="AE112" cm="1">
        <f t="array" ref="AE112">_xlfn.IFS(cleaned_data!AR112&gt;=75,1,
cleaned_data!AR112&gt;=50,0.75,
cleaned_data!AR112&gt;=25,0.5,
cleaned_data!AR112&lt;25,0.25)</f>
        <v>0.75</v>
      </c>
      <c r="AF112">
        <f>IF(cleaned_data!AS112="Yes",1,0)</f>
        <v>1</v>
      </c>
    </row>
    <row r="113" spans="1:32" hidden="1" x14ac:dyDescent="0.35">
      <c r="A113" t="s">
        <v>145</v>
      </c>
      <c r="B113" t="s">
        <v>144</v>
      </c>
      <c r="C113">
        <f>IF(cleaned_data!K113="Registered",1,0)</f>
        <v>0</v>
      </c>
      <c r="D113">
        <f>IF(cleaned_data!L113="Yes",1,0)</f>
        <v>1</v>
      </c>
      <c r="E113">
        <f>IF(cleaned_data!M113="Yes",1,0)</f>
        <v>1</v>
      </c>
      <c r="F113">
        <f>IF(cleaned_data!O113="Unknown","",IF(cleaned_data!O113="Yes",1,0))</f>
        <v>0</v>
      </c>
      <c r="G113" cm="1">
        <f t="array" ref="G113">_xlfn.IFS(cleaned_data!N113="Owned",1,cleaned_data!N113="Leased",0.75,cleaned_data!N113="State land",0.5,cleaned_data!N113="Communal",0.25)</f>
        <v>0.5</v>
      </c>
      <c r="H113" s="2" cm="1">
        <f t="array" ref="H113">_xlfn.IFS(cleaned_data!G113&gt;=10,1,cleaned_data!G113&gt;=5,0.75,cleaned_data!G113&gt;=2,0.5,TRUE,0.25)</f>
        <v>1</v>
      </c>
      <c r="I113">
        <f>IF(cleaned_data!P113="None",0,1)</f>
        <v>1</v>
      </c>
      <c r="J113" s="2" cm="1">
        <f t="array" ref="J113">_xlfn.IFS(cleaned_data!H113&gt;=20,1,cleaned_data!H113&gt;=10,0.75,cleaned_data!H113&gt;=5,0.5,cleaned_data!H113&gt;=1,0.25,TRUE,0)</f>
        <v>1</v>
      </c>
      <c r="K113" cm="1">
        <f t="array" ref="K113">_xlfn.IFS(cleaned_data!Q113&gt;=100000,1,cleaned_data!Q113&gt;=50000,0.75,cleaned_data!Q113&gt;=10000,0.5,TRUE,0.25)</f>
        <v>0.75</v>
      </c>
      <c r="L113" cm="1">
        <f t="array" ref="L113">_xlfn.IFS(cleaned_data!T113="","",cleaned_data!T113&lt;=10,1,cleaned_data!T113&lt;=25,0.75,cleaned_data!T113&lt;=40,0.5, cleaned_data!T113&gt;40,0.25)</f>
        <v>0.5</v>
      </c>
      <c r="M113">
        <f>IF(cleaned_data!U113="Yes",1,0)</f>
        <v>0</v>
      </c>
      <c r="N113" cm="1">
        <f t="array" ref="N113">_xlfn.IFS(cleaned_data!V113="Unknown","",cleaned_data!V113="Yes",1,TRUE,0)</f>
        <v>0</v>
      </c>
      <c r="O113" cm="1">
        <f t="array" ref="O113">_xlfn.IFS(cleaned_data!S113&gt;=4,1,cleaned_data!S113=3,0.75,cleaned_data!S113=2,0.5,cleaned_data!S113=1,0.25,TRUE,0)</f>
        <v>1</v>
      </c>
      <c r="P113" cm="1">
        <f t="array" ref="P113">_xlfn.IFS(cleaned_data!AB113&gt;=50,1,cleaned_data!AB113&gt;=35,0.75,cleaned_data!AB113&gt;=20,0.5,TRUE,0.25)</f>
        <v>1</v>
      </c>
      <c r="Q113" cm="1">
        <f t="array" ref="Q113">_xlfn.IFS(cleaned_data!X113&gt;=5,1,cleaned_data!X113&gt;=3,0.75,cleaned_data!X113=2,0.5,cleaned_data!X113=1,0.25,TRUE,0)</f>
        <v>0.75</v>
      </c>
      <c r="R113">
        <f>IF(cleaned_data!Y113="Yes",1,0)</f>
        <v>0</v>
      </c>
      <c r="S113">
        <f>IF(OR(cleaned_data!AF113="GlobalG.A.P.",cleaned_data!AF113="Fairtrade",cleaned_data!AF113="Organic (CERES)"),1,
IF(OR(cleaned_data!AF113="SIZA",cleaned_data!AF113="Woolworths TNC",cleaned_data!AF113="Checkers Good Farming"),0.75,
IF(cleaned_data!AF113="No Certificate",0,
IF(cleaned_data!AF113="Unknown","",""))))</f>
        <v>1</v>
      </c>
      <c r="T113">
        <f>IF(cleaned_data!AG113="Yes",1,0)</f>
        <v>0</v>
      </c>
      <c r="U113">
        <f>IF(OR(cleaned_data!AD113="No Loan",cleaned_data!AD113="Settled",cleaned_data!AD113="Current"),1,
IF(cleaned_data!AD113="In Arrears",0.5,
IF(cleaned_data!AD113="Defaulted",0,
IF(cleaned_data!AD113="Unknown","",""))))</f>
        <v>0.5</v>
      </c>
      <c r="V113" cm="1">
        <f t="array" ref="V113">_xlfn.IFS(cleaned_data!AE113&lt;=0.2,1,
cleaned_data!AE113&lt;=0.5,0.75,
cleaned_data!AE113&lt;=1,0.5,
cleaned_data!AE113&gt;1,0.25)</f>
        <v>1</v>
      </c>
      <c r="W113">
        <f>IF(cleaned_data!AJ113="Yes",1,0)</f>
        <v>1</v>
      </c>
      <c r="X113" s="2" cm="1">
        <f t="array" ref="X113">_xlfn.IFS(cleaned_data!AM113="Yes", 1,
cleaned_data!AM113="No", 0,
cleaned_data!AM113="Unknown", "")</f>
        <v>1</v>
      </c>
      <c r="Y113" cm="1">
        <f t="array" ref="Y113">_xlfn.IFS(cleaned_data!AK113="Solar", 1,
cleaned_data!AK113="Generator", 0.75,
cleaned_data!AK113="Eskom grid", 0.5,
TRUE, "")</f>
        <v>0.5</v>
      </c>
      <c r="Z113" cm="1">
        <f t="array" ref="Z113">_xlfn.IFS(cleaned_data!AL113="", "",
cleaned_data!AL113&lt;=8, 1,
cleaned_data!AL113&lt;=14, 0.75,
cleaned_data!AL113&lt;=21, 0.5,
cleaned_data!AL113&gt;=22, 0.25)</f>
        <v>0.75</v>
      </c>
      <c r="AA113" cm="1">
        <f t="array" ref="AA113">_xlfn.IFS(cleaned_data!AH113=0, 1,
cleaned_data!AH113=1, 0.75,
cleaned_data!AH113=2, 0.5,
cleaned_data!AH113&gt;=3, 0.25)</f>
        <v>0.5</v>
      </c>
      <c r="AB113" cm="1">
        <f t="array" ref="AB113">_xlfn.IFS(cleaned_data!AO113="", "",
cleaned_data!AO113&gt;=50, 1,
cleaned_data!AO113&gt;=30, 0.75,
cleaned_data!AO113&gt;=10, 0.5,
cleaned_data!AO113&lt;10, 0.25)</f>
        <v>0.5</v>
      </c>
      <c r="AC113" cm="1">
        <f t="array" ref="AC113">_xlfn.IFS(cleaned_data!AP113&gt;=50,1, cleaned_data!AP113&gt;=30,0.75, cleaned_data!AP113&gt;=10,0.5, cleaned_data!AP113&lt;10,0.25)</f>
        <v>0.5</v>
      </c>
      <c r="AD113" cm="1">
        <f t="array" ref="AD113">_xlfn.IFS(cleaned_data!AQ113&gt;=30,1,
cleaned_data!AQ113&gt;=20,0.75,
cleaned_data!AQ113&gt;=10,0.5,
cleaned_data!AQ113&lt;10,0.25)</f>
        <v>0.5</v>
      </c>
      <c r="AE113" cm="1">
        <f t="array" ref="AE113">_xlfn.IFS(cleaned_data!AR113&gt;=75,1,
cleaned_data!AR113&gt;=50,0.75,
cleaned_data!AR113&gt;=25,0.5,
cleaned_data!AR113&lt;25,0.25)</f>
        <v>1</v>
      </c>
      <c r="AF113">
        <f>IF(cleaned_data!AS113="Yes",1,0)</f>
        <v>0</v>
      </c>
    </row>
    <row r="114" spans="1:32" hidden="1" x14ac:dyDescent="0.35">
      <c r="A114" t="s">
        <v>142</v>
      </c>
      <c r="B114" t="s">
        <v>141</v>
      </c>
      <c r="C114">
        <f>IF(cleaned_data!K114="Registered",1,0)</f>
        <v>1</v>
      </c>
      <c r="D114">
        <f>IF(cleaned_data!L114="Yes",1,0)</f>
        <v>1</v>
      </c>
      <c r="E114">
        <f>IF(cleaned_data!M114="Yes",1,0)</f>
        <v>0</v>
      </c>
      <c r="F114">
        <f>IF(cleaned_data!O114="Unknown","",IF(cleaned_data!O114="Yes",1,0))</f>
        <v>0</v>
      </c>
      <c r="G114" cm="1">
        <f t="array" ref="G114">_xlfn.IFS(cleaned_data!N114="Owned",1,cleaned_data!N114="Leased",0.75,cleaned_data!N114="State land",0.5,cleaned_data!N114="Communal",0.25)</f>
        <v>0.5</v>
      </c>
      <c r="H114" s="2" cm="1">
        <f t="array" ref="H114">_xlfn.IFS(cleaned_data!G114&gt;=10,1,cleaned_data!G114&gt;=5,0.75,cleaned_data!G114&gt;=2,0.5,TRUE,0.25)</f>
        <v>1</v>
      </c>
      <c r="I114">
        <f>IF(cleaned_data!P114="None",0,1)</f>
        <v>1</v>
      </c>
      <c r="J114" s="2" cm="1">
        <f t="array" ref="J114">_xlfn.IFS(cleaned_data!H114&gt;=20,1,cleaned_data!H114&gt;=10,0.75,cleaned_data!H114&gt;=5,0.5,cleaned_data!H114&gt;=1,0.25,TRUE,0)</f>
        <v>0.5</v>
      </c>
      <c r="K114" cm="1">
        <f t="array" ref="K114">_xlfn.IFS(cleaned_data!Q114&gt;=100000,1,cleaned_data!Q114&gt;=50000,0.75,cleaned_data!Q114&gt;=10000,0.5,TRUE,0.25)</f>
        <v>0.5</v>
      </c>
      <c r="L114" cm="1">
        <f t="array" ref="L114">_xlfn.IFS(cleaned_data!T114="","",cleaned_data!T114&lt;=10,1,cleaned_data!T114&lt;=25,0.75,cleaned_data!T114&lt;=40,0.5, cleaned_data!T114&gt;40,0.25)</f>
        <v>0.75</v>
      </c>
      <c r="M114">
        <f>IF(cleaned_data!U114="Yes",1,0)</f>
        <v>1</v>
      </c>
      <c r="N114" cm="1">
        <f t="array" ref="N114">_xlfn.IFS(cleaned_data!V114="Unknown","",cleaned_data!V114="Yes",1,TRUE,0)</f>
        <v>1</v>
      </c>
      <c r="O114" cm="1">
        <f t="array" ref="O114">_xlfn.IFS(cleaned_data!S114&gt;=4,1,cleaned_data!S114=3,0.75,cleaned_data!S114=2,0.5,cleaned_data!S114=1,0.25,TRUE,0)</f>
        <v>1</v>
      </c>
      <c r="P114" cm="1">
        <f t="array" ref="P114">_xlfn.IFS(cleaned_data!AB114&gt;=50,1,cleaned_data!AB114&gt;=35,0.75,cleaned_data!AB114&gt;=20,0.5,TRUE,0.25)</f>
        <v>0.5</v>
      </c>
      <c r="Q114" cm="1">
        <f t="array" ref="Q114">_xlfn.IFS(cleaned_data!X114&gt;=5,1,cleaned_data!X114&gt;=3,0.75,cleaned_data!X114=2,0.5,cleaned_data!X114=1,0.25,TRUE,0)</f>
        <v>0.75</v>
      </c>
      <c r="R114">
        <f>IF(cleaned_data!Y114="Yes",1,0)</f>
        <v>0</v>
      </c>
      <c r="S114">
        <f>IF(OR(cleaned_data!AF114="GlobalG.A.P.",cleaned_data!AF114="Fairtrade",cleaned_data!AF114="Organic (CERES)"),1,
IF(OR(cleaned_data!AF114="SIZA",cleaned_data!AF114="Woolworths TNC",cleaned_data!AF114="Checkers Good Farming"),0.75,
IF(cleaned_data!AF114="No Certificate",0,
IF(cleaned_data!AF114="Unknown","",""))))</f>
        <v>0</v>
      </c>
      <c r="T114">
        <f>IF(cleaned_data!AG114="Yes",1,0)</f>
        <v>1</v>
      </c>
      <c r="U114">
        <f>IF(OR(cleaned_data!AD114="No Loan",cleaned_data!AD114="Settled",cleaned_data!AD114="Current"),1,
IF(cleaned_data!AD114="In Arrears",0.5,
IF(cleaned_data!AD114="Defaulted",0,
IF(cleaned_data!AD114="Unknown","",""))))</f>
        <v>1</v>
      </c>
      <c r="V114" cm="1">
        <f t="array" ref="V114">_xlfn.IFS(cleaned_data!AE114&lt;=0.2,1,
cleaned_data!AE114&lt;=0.5,0.75,
cleaned_data!AE114&lt;=1,0.5,
cleaned_data!AE114&gt;1,0.25)</f>
        <v>0.25</v>
      </c>
      <c r="W114">
        <f>IF(cleaned_data!AJ114="Yes",1,0)</f>
        <v>1</v>
      </c>
      <c r="X114" s="2" cm="1">
        <f t="array" ref="X114">_xlfn.IFS(cleaned_data!AM114="Yes", 1,
cleaned_data!AM114="No", 0,
cleaned_data!AM114="Unknown", "")</f>
        <v>1</v>
      </c>
      <c r="Y114" cm="1">
        <f t="array" ref="Y114">_xlfn.IFS(cleaned_data!AK114="Solar", 1,
cleaned_data!AK114="Generator", 0.75,
cleaned_data!AK114="Eskom grid", 0.5,
TRUE, "")</f>
        <v>0.75</v>
      </c>
      <c r="Z114" cm="1">
        <f t="array" ref="Z114">_xlfn.IFS(cleaned_data!AL114="", "",
cleaned_data!AL114&lt;=8, 1,
cleaned_data!AL114&lt;=14, 0.75,
cleaned_data!AL114&lt;=21, 0.5,
cleaned_data!AL114&gt;=22, 0.25)</f>
        <v>1</v>
      </c>
      <c r="AA114" cm="1">
        <f t="array" ref="AA114">_xlfn.IFS(cleaned_data!AH114=0, 1,
cleaned_data!AH114=1, 0.75,
cleaned_data!AH114=2, 0.5,
cleaned_data!AH114&gt;=3, 0.25)</f>
        <v>1</v>
      </c>
      <c r="AB114" cm="1">
        <f t="array" ref="AB114">_xlfn.IFS(cleaned_data!AO114="", "",
cleaned_data!AO114&gt;=50, 1,
cleaned_data!AO114&gt;=30, 0.75,
cleaned_data!AO114&gt;=10, 0.5,
cleaned_data!AO114&lt;10, 0.25)</f>
        <v>0.5</v>
      </c>
      <c r="AC114" cm="1">
        <f t="array" ref="AC114">_xlfn.IFS(cleaned_data!AP114&gt;=50,1, cleaned_data!AP114&gt;=30,0.75, cleaned_data!AP114&gt;=10,0.5, cleaned_data!AP114&lt;10,0.25)</f>
        <v>1</v>
      </c>
      <c r="AD114" cm="1">
        <f t="array" ref="AD114">_xlfn.IFS(cleaned_data!AQ114&gt;=30,1,
cleaned_data!AQ114&gt;=20,0.75,
cleaned_data!AQ114&gt;=10,0.5,
cleaned_data!AQ114&lt;10,0.25)</f>
        <v>1</v>
      </c>
      <c r="AE114" cm="1">
        <f t="array" ref="AE114">_xlfn.IFS(cleaned_data!AR114&gt;=75,1,
cleaned_data!AR114&gt;=50,0.75,
cleaned_data!AR114&gt;=25,0.5,
cleaned_data!AR114&lt;25,0.25)</f>
        <v>0.75</v>
      </c>
      <c r="AF114">
        <f>IF(cleaned_data!AS114="Yes",1,0)</f>
        <v>1</v>
      </c>
    </row>
    <row r="115" spans="1:32" x14ac:dyDescent="0.35">
      <c r="A115" t="s">
        <v>140</v>
      </c>
      <c r="B115" t="s">
        <v>139</v>
      </c>
      <c r="C115">
        <f>IF(cleaned_data!K115="Registered",1,0)</f>
        <v>1</v>
      </c>
      <c r="D115">
        <f>IF(cleaned_data!L115="Yes",1,0)</f>
        <v>1</v>
      </c>
      <c r="E115">
        <f>IF(cleaned_data!M115="Yes",1,0)</f>
        <v>1</v>
      </c>
      <c r="F115">
        <f>IF(cleaned_data!O115="Unknown","",IF(cleaned_data!O115="Yes",1,0))</f>
        <v>1</v>
      </c>
      <c r="G115" cm="1">
        <f t="array" ref="G115">_xlfn.IFS(cleaned_data!N115="Owned",1,cleaned_data!N115="Leased",0.75,cleaned_data!N115="State land",0.5,cleaned_data!N115="Communal",0.25)</f>
        <v>0.75</v>
      </c>
      <c r="H115" s="2" cm="1">
        <f t="array" ref="H115">_xlfn.IFS(cleaned_data!G115&gt;=10,1,cleaned_data!G115&gt;=5,0.75,cleaned_data!G115&gt;=2,0.5,TRUE,0.25)</f>
        <v>1</v>
      </c>
      <c r="I115">
        <f>IF(cleaned_data!P115="None",0,1)</f>
        <v>1</v>
      </c>
      <c r="J115" s="2" cm="1">
        <f t="array" ref="J115">_xlfn.IFS(cleaned_data!H115&gt;=20,1,cleaned_data!H115&gt;=10,0.75,cleaned_data!H115&gt;=5,0.5,cleaned_data!H115&gt;=1,0.25,TRUE,0)</f>
        <v>1</v>
      </c>
      <c r="K115" cm="1">
        <f t="array" ref="K115">_xlfn.IFS(cleaned_data!Q115&gt;=100000,1,cleaned_data!Q115&gt;=50000,0.75,cleaned_data!Q115&gt;=10000,0.5,TRUE,0.25)</f>
        <v>0.5</v>
      </c>
      <c r="L115" cm="1">
        <f t="array" ref="L115">_xlfn.IFS(cleaned_data!T115="","",cleaned_data!T115&lt;=10,1,cleaned_data!T115&lt;=25,0.75,cleaned_data!T115&lt;=40,0.5, cleaned_data!T115&gt;40,0.25)</f>
        <v>0.5</v>
      </c>
      <c r="M115">
        <f>IF(cleaned_data!U115="Yes",1,0)</f>
        <v>1</v>
      </c>
      <c r="N115" cm="1">
        <f t="array" ref="N115">_xlfn.IFS(cleaned_data!V115="Unknown","",cleaned_data!V115="Yes",1,TRUE,0)</f>
        <v>0</v>
      </c>
      <c r="O115" cm="1">
        <f t="array" ref="O115">_xlfn.IFS(cleaned_data!S115&gt;=4,1,cleaned_data!S115=3,0.75,cleaned_data!S115=2,0.5,cleaned_data!S115=1,0.25,TRUE,0)</f>
        <v>1</v>
      </c>
      <c r="P115" cm="1">
        <f t="array" ref="P115">_xlfn.IFS(cleaned_data!AB115&gt;=50,1,cleaned_data!AB115&gt;=35,0.75,cleaned_data!AB115&gt;=20,0.5,TRUE,0.25)</f>
        <v>0.75</v>
      </c>
      <c r="Q115" cm="1">
        <f t="array" ref="Q115">_xlfn.IFS(cleaned_data!X115&gt;=5,1,cleaned_data!X115&gt;=3,0.75,cleaned_data!X115=2,0.5,cleaned_data!X115=1,0.25,TRUE,0)</f>
        <v>0.25</v>
      </c>
      <c r="R115">
        <f>IF(cleaned_data!Y115="Yes",1,0)</f>
        <v>1</v>
      </c>
      <c r="S115">
        <f>IF(OR(cleaned_data!AF115="GlobalG.A.P.",cleaned_data!AF115="Fairtrade",cleaned_data!AF115="Organic (CERES)"),1,
IF(OR(cleaned_data!AF115="SIZA",cleaned_data!AF115="Woolworths TNC",cleaned_data!AF115="Checkers Good Farming"),0.75,
IF(cleaned_data!AF115="No Certificate",0,
IF(cleaned_data!AF115="Unknown","",""))))</f>
        <v>1</v>
      </c>
      <c r="T115">
        <f>IF(cleaned_data!AG115="Yes",1,0)</f>
        <v>0</v>
      </c>
      <c r="U115">
        <f>IF(OR(cleaned_data!AD115="No Loan",cleaned_data!AD115="Settled",cleaned_data!AD115="Current"),1,
IF(cleaned_data!AD115="In Arrears",0.5,
IF(cleaned_data!AD115="Defaulted",0,
IF(cleaned_data!AD115="Unknown","",""))))</f>
        <v>1</v>
      </c>
      <c r="V115" cm="1">
        <f t="array" ref="V115">_xlfn.IFS(cleaned_data!AE115&lt;=0.2,1,
cleaned_data!AE115&lt;=0.5,0.75,
cleaned_data!AE115&lt;=1,0.5,
cleaned_data!AE115&gt;1,0.25)</f>
        <v>0.25</v>
      </c>
      <c r="W115">
        <f>IF(cleaned_data!AJ115="Yes",1,0)</f>
        <v>1</v>
      </c>
      <c r="X115" s="2" cm="1">
        <f t="array" ref="X115">_xlfn.IFS(cleaned_data!AM115="Yes", 1,
cleaned_data!AM115="No", 0,
cleaned_data!AM115="Unknown", "")</f>
        <v>0</v>
      </c>
      <c r="Y115" cm="1">
        <f t="array" ref="Y115">_xlfn.IFS(cleaned_data!AK115="Solar", 1,
cleaned_data!AK115="Generator", 0.75,
cleaned_data!AK115="Eskom grid", 0.5,
TRUE, "")</f>
        <v>0.5</v>
      </c>
      <c r="Z115" cm="1">
        <f t="array" ref="Z115">_xlfn.IFS(cleaned_data!AL115="", "",
cleaned_data!AL115&lt;=8, 1,
cleaned_data!AL115&lt;=14, 0.75,
cleaned_data!AL115&lt;=21, 0.5,
cleaned_data!AL115&gt;=22, 0.25)</f>
        <v>0.5</v>
      </c>
      <c r="AA115" cm="1">
        <f t="array" ref="AA115">_xlfn.IFS(cleaned_data!AH115=0, 1,
cleaned_data!AH115=1, 0.75,
cleaned_data!AH115=2, 0.5,
cleaned_data!AH115&gt;=3, 0.25)</f>
        <v>0.25</v>
      </c>
      <c r="AB115" cm="1">
        <f t="array" ref="AB115">_xlfn.IFS(cleaned_data!AO115="", "",
cleaned_data!AO115&gt;=50, 1,
cleaned_data!AO115&gt;=30, 0.75,
cleaned_data!AO115&gt;=10, 0.5,
cleaned_data!AO115&lt;10, 0.25)</f>
        <v>1</v>
      </c>
      <c r="AC115" cm="1">
        <f t="array" ref="AC115">_xlfn.IFS(cleaned_data!AP115&gt;=50,1, cleaned_data!AP115&gt;=30,0.75, cleaned_data!AP115&gt;=10,0.5, cleaned_data!AP115&lt;10,0.25)</f>
        <v>0.75</v>
      </c>
      <c r="AD115" cm="1">
        <f t="array" ref="AD115">_xlfn.IFS(cleaned_data!AQ115&gt;=30,1,
cleaned_data!AQ115&gt;=20,0.75,
cleaned_data!AQ115&gt;=10,0.5,
cleaned_data!AQ115&lt;10,0.25)</f>
        <v>0.5</v>
      </c>
      <c r="AE115" cm="1">
        <f t="array" ref="AE115">_xlfn.IFS(cleaned_data!AR115&gt;=75,1,
cleaned_data!AR115&gt;=50,0.75,
cleaned_data!AR115&gt;=25,0.5,
cleaned_data!AR115&lt;25,0.25)</f>
        <v>1</v>
      </c>
      <c r="AF115">
        <f>IF(cleaned_data!AS115="Yes",1,0)</f>
        <v>0</v>
      </c>
    </row>
    <row r="116" spans="1:32" x14ac:dyDescent="0.35">
      <c r="A116" t="s">
        <v>137</v>
      </c>
      <c r="B116" t="s">
        <v>136</v>
      </c>
      <c r="C116">
        <f>IF(cleaned_data!K116="Registered",1,0)</f>
        <v>1</v>
      </c>
      <c r="D116">
        <f>IF(cleaned_data!L116="Yes",1,0)</f>
        <v>0</v>
      </c>
      <c r="E116">
        <f>IF(cleaned_data!M116="Yes",1,0)</f>
        <v>1</v>
      </c>
      <c r="F116">
        <f>IF(cleaned_data!O116="Unknown","",IF(cleaned_data!O116="Yes",1,0))</f>
        <v>1</v>
      </c>
      <c r="G116" cm="1">
        <f t="array" ref="G116">_xlfn.IFS(cleaned_data!N116="Owned",1,cleaned_data!N116="Leased",0.75,cleaned_data!N116="State land",0.5,cleaned_data!N116="Communal",0.25)</f>
        <v>1</v>
      </c>
      <c r="H116" s="2" cm="1">
        <f t="array" ref="H116">_xlfn.IFS(cleaned_data!G116&gt;=10,1,cleaned_data!G116&gt;=5,0.75,cleaned_data!G116&gt;=2,0.5,TRUE,0.25)</f>
        <v>1</v>
      </c>
      <c r="I116">
        <f>IF(cleaned_data!P116="None",0,1)</f>
        <v>1</v>
      </c>
      <c r="J116" s="2" cm="1">
        <f t="array" ref="J116">_xlfn.IFS(cleaned_data!H116&gt;=20,1,cleaned_data!H116&gt;=10,0.75,cleaned_data!H116&gt;=5,0.5,cleaned_data!H116&gt;=1,0.25,TRUE,0)</f>
        <v>1</v>
      </c>
      <c r="K116" cm="1">
        <f t="array" ref="K116">_xlfn.IFS(cleaned_data!Q116&gt;=100000,1,cleaned_data!Q116&gt;=50000,0.75,cleaned_data!Q116&gt;=10000,0.5,TRUE,0.25)</f>
        <v>0.5</v>
      </c>
      <c r="L116" cm="1">
        <f t="array" ref="L116">_xlfn.IFS(cleaned_data!T116="","",cleaned_data!T116&lt;=10,1,cleaned_data!T116&lt;=25,0.75,cleaned_data!T116&lt;=40,0.5, cleaned_data!T116&gt;40,0.25)</f>
        <v>0.5</v>
      </c>
      <c r="M116">
        <f>IF(cleaned_data!U116="Yes",1,0)</f>
        <v>0</v>
      </c>
      <c r="N116" t="str" cm="1">
        <f t="array" ref="N116">_xlfn.IFS(cleaned_data!V116="Unknown","",cleaned_data!V116="Yes",1,TRUE,0)</f>
        <v/>
      </c>
      <c r="O116" cm="1">
        <f t="array" ref="O116">_xlfn.IFS(cleaned_data!S116&gt;=4,1,cleaned_data!S116=3,0.75,cleaned_data!S116=2,0.5,cleaned_data!S116=1,0.25,TRUE,0)</f>
        <v>0.5</v>
      </c>
      <c r="P116" cm="1">
        <f t="array" ref="P116">_xlfn.IFS(cleaned_data!AB116&gt;=50,1,cleaned_data!AB116&gt;=35,0.75,cleaned_data!AB116&gt;=20,0.5,TRUE,0.25)</f>
        <v>0.75</v>
      </c>
      <c r="Q116" cm="1">
        <f t="array" ref="Q116">_xlfn.IFS(cleaned_data!X116&gt;=5,1,cleaned_data!X116&gt;=3,0.75,cleaned_data!X116=2,0.5,cleaned_data!X116=1,0.25,TRUE,0)</f>
        <v>0.75</v>
      </c>
      <c r="R116">
        <f>IF(cleaned_data!Y116="Yes",1,0)</f>
        <v>1</v>
      </c>
      <c r="S116">
        <f>IF(OR(cleaned_data!AF116="GlobalG.A.P.",cleaned_data!AF116="Fairtrade",cleaned_data!AF116="Organic (CERES)"),1,
IF(OR(cleaned_data!AF116="SIZA",cleaned_data!AF116="Woolworths TNC",cleaned_data!AF116="Checkers Good Farming"),0.75,
IF(cleaned_data!AF116="No Certificate",0,
IF(cleaned_data!AF116="Unknown","",""))))</f>
        <v>1</v>
      </c>
      <c r="T116">
        <f>IF(cleaned_data!AG116="Yes",1,0)</f>
        <v>0</v>
      </c>
      <c r="U116">
        <f>IF(OR(cleaned_data!AD116="No Loan",cleaned_data!AD116="Settled",cleaned_data!AD116="Current"),1,
IF(cleaned_data!AD116="In Arrears",0.5,
IF(cleaned_data!AD116="Defaulted",0,
IF(cleaned_data!AD116="Unknown","",""))))</f>
        <v>1</v>
      </c>
      <c r="V116" cm="1">
        <f t="array" ref="V116">_xlfn.IFS(cleaned_data!AE116&lt;=0.2,1,
cleaned_data!AE116&lt;=0.5,0.75,
cleaned_data!AE116&lt;=1,0.5,
cleaned_data!AE116&gt;1,0.25)</f>
        <v>1</v>
      </c>
      <c r="W116">
        <f>IF(cleaned_data!AJ116="Yes",1,0)</f>
        <v>1</v>
      </c>
      <c r="X116" s="2" cm="1">
        <f t="array" ref="X116">_xlfn.IFS(cleaned_data!AM116="Yes", 1,
cleaned_data!AM116="No", 0,
cleaned_data!AM116="Unknown", "")</f>
        <v>0</v>
      </c>
      <c r="Y116" cm="1">
        <f t="array" ref="Y116">_xlfn.IFS(cleaned_data!AK116="Solar", 1,
cleaned_data!AK116="Generator", 0.75,
cleaned_data!AK116="Eskom grid", 0.5,
TRUE, "")</f>
        <v>0.5</v>
      </c>
      <c r="Z116" cm="1">
        <f t="array" ref="Z116">_xlfn.IFS(cleaned_data!AL116="", "",
cleaned_data!AL116&lt;=8, 1,
cleaned_data!AL116&lt;=14, 0.75,
cleaned_data!AL116&lt;=21, 0.5,
cleaned_data!AL116&gt;=22, 0.25)</f>
        <v>0.5</v>
      </c>
      <c r="AA116" cm="1">
        <f t="array" ref="AA116">_xlfn.IFS(cleaned_data!AH116=0, 1,
cleaned_data!AH116=1, 0.75,
cleaned_data!AH116=2, 0.5,
cleaned_data!AH116&gt;=3, 0.25)</f>
        <v>0.25</v>
      </c>
      <c r="AB116" cm="1">
        <f t="array" ref="AB116">_xlfn.IFS(cleaned_data!AO116="", "",
cleaned_data!AO116&gt;=50, 1,
cleaned_data!AO116&gt;=30, 0.75,
cleaned_data!AO116&gt;=10, 0.5,
cleaned_data!AO116&lt;10, 0.25)</f>
        <v>1</v>
      </c>
      <c r="AC116" cm="1">
        <f t="array" ref="AC116">_xlfn.IFS(cleaned_data!AP116&gt;=50,1, cleaned_data!AP116&gt;=30,0.75, cleaned_data!AP116&gt;=10,0.5, cleaned_data!AP116&lt;10,0.25)</f>
        <v>0.75</v>
      </c>
      <c r="AD116" cm="1">
        <f t="array" ref="AD116">_xlfn.IFS(cleaned_data!AQ116&gt;=30,1,
cleaned_data!AQ116&gt;=20,0.75,
cleaned_data!AQ116&gt;=10,0.5,
cleaned_data!AQ116&lt;10,0.25)</f>
        <v>1</v>
      </c>
      <c r="AE116" cm="1">
        <f t="array" ref="AE116">_xlfn.IFS(cleaned_data!AR116&gt;=75,1,
cleaned_data!AR116&gt;=50,0.75,
cleaned_data!AR116&gt;=25,0.5,
cleaned_data!AR116&lt;25,0.25)</f>
        <v>0.5</v>
      </c>
      <c r="AF116">
        <f>IF(cleaned_data!AS116="Yes",1,0)</f>
        <v>0</v>
      </c>
    </row>
    <row r="117" spans="1:32" hidden="1" x14ac:dyDescent="0.35">
      <c r="A117" t="s">
        <v>133</v>
      </c>
      <c r="B117" t="s">
        <v>91</v>
      </c>
      <c r="C117">
        <f>IF(cleaned_data!K117="Registered",1,0)</f>
        <v>1</v>
      </c>
      <c r="D117">
        <f>IF(cleaned_data!L117="Yes",1,0)</f>
        <v>1</v>
      </c>
      <c r="E117">
        <f>IF(cleaned_data!M117="Yes",1,0)</f>
        <v>1</v>
      </c>
      <c r="F117">
        <f>IF(cleaned_data!O117="Unknown","",IF(cleaned_data!O117="Yes",1,0))</f>
        <v>0</v>
      </c>
      <c r="G117" cm="1">
        <f t="array" ref="G117">_xlfn.IFS(cleaned_data!N117="Owned",1,cleaned_data!N117="Leased",0.75,cleaned_data!N117="State land",0.5,cleaned_data!N117="Communal",0.25)</f>
        <v>0.5</v>
      </c>
      <c r="H117" s="2" cm="1">
        <f t="array" ref="H117">_xlfn.IFS(cleaned_data!G117&gt;=10,1,cleaned_data!G117&gt;=5,0.75,cleaned_data!G117&gt;=2,0.5,TRUE,0.25)</f>
        <v>1</v>
      </c>
      <c r="I117">
        <f>IF(cleaned_data!P117="None",0,1)</f>
        <v>1</v>
      </c>
      <c r="J117" s="2" cm="1">
        <f t="array" ref="J117">_xlfn.IFS(cleaned_data!H117&gt;=20,1,cleaned_data!H117&gt;=10,0.75,cleaned_data!H117&gt;=5,0.5,cleaned_data!H117&gt;=1,0.25,TRUE,0)</f>
        <v>1</v>
      </c>
      <c r="K117" cm="1">
        <f t="array" ref="K117">_xlfn.IFS(cleaned_data!Q117&gt;=100000,1,cleaned_data!Q117&gt;=50000,0.75,cleaned_data!Q117&gt;=10000,0.5,TRUE,0.25)</f>
        <v>0.5</v>
      </c>
      <c r="L117" cm="1">
        <f t="array" ref="L117">_xlfn.IFS(cleaned_data!T117="","",cleaned_data!T117&lt;=10,1,cleaned_data!T117&lt;=25,0.75,cleaned_data!T117&lt;=40,0.5, cleaned_data!T117&gt;40,0.25)</f>
        <v>0.75</v>
      </c>
      <c r="M117">
        <f>IF(cleaned_data!U117="Yes",1,0)</f>
        <v>0</v>
      </c>
      <c r="N117" cm="1">
        <f t="array" ref="N117">_xlfn.IFS(cleaned_data!V117="Unknown","",cleaned_data!V117="Yes",1,TRUE,0)</f>
        <v>0</v>
      </c>
      <c r="O117" cm="1">
        <f t="array" ref="O117">_xlfn.IFS(cleaned_data!S117&gt;=4,1,cleaned_data!S117=3,0.75,cleaned_data!S117=2,0.5,cleaned_data!S117=1,0.25,TRUE,0)</f>
        <v>0.25</v>
      </c>
      <c r="P117" cm="1">
        <f t="array" ref="P117">_xlfn.IFS(cleaned_data!AB117&gt;=50,1,cleaned_data!AB117&gt;=35,0.75,cleaned_data!AB117&gt;=20,0.5,TRUE,0.25)</f>
        <v>1</v>
      </c>
      <c r="Q117" cm="1">
        <f t="array" ref="Q117">_xlfn.IFS(cleaned_data!X117&gt;=5,1,cleaned_data!X117&gt;=3,0.75,cleaned_data!X117=2,0.5,cleaned_data!X117=1,0.25,TRUE,0)</f>
        <v>0.25</v>
      </c>
      <c r="R117">
        <f>IF(cleaned_data!Y117="Yes",1,0)</f>
        <v>0</v>
      </c>
      <c r="S117">
        <f>IF(OR(cleaned_data!AF117="GlobalG.A.P.",cleaned_data!AF117="Fairtrade",cleaned_data!AF117="Organic (CERES)"),1,
IF(OR(cleaned_data!AF117="SIZA",cleaned_data!AF117="Woolworths TNC",cleaned_data!AF117="Checkers Good Farming"),0.75,
IF(cleaned_data!AF117="No Certificate",0,
IF(cleaned_data!AF117="Unknown","",""))))</f>
        <v>0</v>
      </c>
      <c r="T117">
        <f>IF(cleaned_data!AG117="Yes",1,0)</f>
        <v>0</v>
      </c>
      <c r="U117">
        <f>IF(OR(cleaned_data!AD117="No Loan",cleaned_data!AD117="Settled",cleaned_data!AD117="Current"),1,
IF(cleaned_data!AD117="In Arrears",0.5,
IF(cleaned_data!AD117="Defaulted",0,
IF(cleaned_data!AD117="Unknown","",""))))</f>
        <v>1</v>
      </c>
      <c r="V117" cm="1">
        <f t="array" ref="V117">_xlfn.IFS(cleaned_data!AE117&lt;=0.2,1,
cleaned_data!AE117&lt;=0.5,0.75,
cleaned_data!AE117&lt;=1,0.5,
cleaned_data!AE117&gt;1,0.25)</f>
        <v>1</v>
      </c>
      <c r="W117">
        <f>IF(cleaned_data!AJ117="Yes",1,0)</f>
        <v>1</v>
      </c>
      <c r="X117" s="2" cm="1">
        <f t="array" ref="X117">_xlfn.IFS(cleaned_data!AM117="Yes", 1,
cleaned_data!AM117="No", 0,
cleaned_data!AM117="Unknown", "")</f>
        <v>1</v>
      </c>
      <c r="Y117" cm="1">
        <f t="array" ref="Y117">_xlfn.IFS(cleaned_data!AK117="Solar", 1,
cleaned_data!AK117="Generator", 0.75,
cleaned_data!AK117="Eskom grid", 0.5,
TRUE, "")</f>
        <v>1</v>
      </c>
      <c r="Z117" cm="1">
        <f t="array" ref="Z117">_xlfn.IFS(cleaned_data!AL117="", "",
cleaned_data!AL117&lt;=8, 1,
cleaned_data!AL117&lt;=14, 0.75,
cleaned_data!AL117&lt;=21, 0.5,
cleaned_data!AL117&gt;=22, 0.25)</f>
        <v>1</v>
      </c>
      <c r="AA117" cm="1">
        <f t="array" ref="AA117">_xlfn.IFS(cleaned_data!AH117=0, 1,
cleaned_data!AH117=1, 0.75,
cleaned_data!AH117=2, 0.5,
cleaned_data!AH117&gt;=3, 0.25)</f>
        <v>1</v>
      </c>
      <c r="AB117" cm="1">
        <f t="array" ref="AB117">_xlfn.IFS(cleaned_data!AO117="", "",
cleaned_data!AO117&gt;=50, 1,
cleaned_data!AO117&gt;=30, 0.75,
cleaned_data!AO117&gt;=10, 0.5,
cleaned_data!AO117&lt;10, 0.25)</f>
        <v>0.25</v>
      </c>
      <c r="AC117" cm="1">
        <f t="array" ref="AC117">_xlfn.IFS(cleaned_data!AP117&gt;=50,1, cleaned_data!AP117&gt;=30,0.75, cleaned_data!AP117&gt;=10,0.5, cleaned_data!AP117&lt;10,0.25)</f>
        <v>0.5</v>
      </c>
      <c r="AD117" cm="1">
        <f t="array" ref="AD117">_xlfn.IFS(cleaned_data!AQ117&gt;=30,1,
cleaned_data!AQ117&gt;=20,0.75,
cleaned_data!AQ117&gt;=10,0.5,
cleaned_data!AQ117&lt;10,0.25)</f>
        <v>0.75</v>
      </c>
      <c r="AE117" cm="1">
        <f t="array" ref="AE117">_xlfn.IFS(cleaned_data!AR117&gt;=75,1,
cleaned_data!AR117&gt;=50,0.75,
cleaned_data!AR117&gt;=25,0.5,
cleaned_data!AR117&lt;25,0.25)</f>
        <v>0.5</v>
      </c>
      <c r="AF117">
        <f>IF(cleaned_data!AS117="Yes",1,0)</f>
        <v>1</v>
      </c>
    </row>
    <row r="118" spans="1:32" hidden="1" x14ac:dyDescent="0.35">
      <c r="A118" t="s">
        <v>131</v>
      </c>
      <c r="B118" t="s">
        <v>130</v>
      </c>
      <c r="C118">
        <f>IF(cleaned_data!K118="Registered",1,0)</f>
        <v>1</v>
      </c>
      <c r="D118">
        <f>IF(cleaned_data!L118="Yes",1,0)</f>
        <v>1</v>
      </c>
      <c r="E118">
        <f>IF(cleaned_data!M118="Yes",1,0)</f>
        <v>0</v>
      </c>
      <c r="F118">
        <f>IF(cleaned_data!O118="Unknown","",IF(cleaned_data!O118="Yes",1,0))</f>
        <v>1</v>
      </c>
      <c r="G118" cm="1">
        <f t="array" ref="G118">_xlfn.IFS(cleaned_data!N118="Owned",1,cleaned_data!N118="Leased",0.75,cleaned_data!N118="State land",0.5,cleaned_data!N118="Communal",0.25)</f>
        <v>1</v>
      </c>
      <c r="H118" s="2" cm="1">
        <f t="array" ref="H118">_xlfn.IFS(cleaned_data!G118&gt;=10,1,cleaned_data!G118&gt;=5,0.75,cleaned_data!G118&gt;=2,0.5,TRUE,0.25)</f>
        <v>1</v>
      </c>
      <c r="I118">
        <f>IF(cleaned_data!P118="None",0,1)</f>
        <v>1</v>
      </c>
      <c r="J118" s="2" cm="1">
        <f t="array" ref="J118">_xlfn.IFS(cleaned_data!H118&gt;=20,1,cleaned_data!H118&gt;=10,0.75,cleaned_data!H118&gt;=5,0.5,cleaned_data!H118&gt;=1,0.25,TRUE,0)</f>
        <v>1</v>
      </c>
      <c r="K118" cm="1">
        <f t="array" ref="K118">_xlfn.IFS(cleaned_data!Q118&gt;=100000,1,cleaned_data!Q118&gt;=50000,0.75,cleaned_data!Q118&gt;=10000,0.5,TRUE,0.25)</f>
        <v>0.5</v>
      </c>
      <c r="L118" cm="1">
        <f t="array" ref="L118">_xlfn.IFS(cleaned_data!T118="","",cleaned_data!T118&lt;=10,1,cleaned_data!T118&lt;=25,0.75,cleaned_data!T118&lt;=40,0.5, cleaned_data!T118&gt;40,0.25)</f>
        <v>0.75</v>
      </c>
      <c r="M118">
        <f>IF(cleaned_data!U118="Yes",1,0)</f>
        <v>1</v>
      </c>
      <c r="N118" cm="1">
        <f t="array" ref="N118">_xlfn.IFS(cleaned_data!V118="Unknown","",cleaned_data!V118="Yes",1,TRUE,0)</f>
        <v>1</v>
      </c>
      <c r="O118" cm="1">
        <f t="array" ref="O118">_xlfn.IFS(cleaned_data!S118&gt;=4,1,cleaned_data!S118=3,0.75,cleaned_data!S118=2,0.5,cleaned_data!S118=1,0.25,TRUE,0)</f>
        <v>1</v>
      </c>
      <c r="P118" cm="1">
        <f t="array" ref="P118">_xlfn.IFS(cleaned_data!AB118&gt;=50,1,cleaned_data!AB118&gt;=35,0.75,cleaned_data!AB118&gt;=20,0.5,TRUE,0.25)</f>
        <v>0.5</v>
      </c>
      <c r="Q118" cm="1">
        <f t="array" ref="Q118">_xlfn.IFS(cleaned_data!X118&gt;=5,1,cleaned_data!X118&gt;=3,0.75,cleaned_data!X118=2,0.5,cleaned_data!X118=1,0.25,TRUE,0)</f>
        <v>0.75</v>
      </c>
      <c r="R118">
        <f>IF(cleaned_data!Y118="Yes",1,0)</f>
        <v>0</v>
      </c>
      <c r="S118">
        <f>IF(OR(cleaned_data!AF118="GlobalG.A.P.",cleaned_data!AF118="Fairtrade",cleaned_data!AF118="Organic (CERES)"),1,
IF(OR(cleaned_data!AF118="SIZA",cleaned_data!AF118="Woolworths TNC",cleaned_data!AF118="Checkers Good Farming"),0.75,
IF(cleaned_data!AF118="No Certificate",0,
IF(cleaned_data!AF118="Unknown","",""))))</f>
        <v>0.75</v>
      </c>
      <c r="T118">
        <f>IF(cleaned_data!AG118="Yes",1,0)</f>
        <v>0</v>
      </c>
      <c r="U118">
        <f>IF(OR(cleaned_data!AD118="No Loan",cleaned_data!AD118="Settled",cleaned_data!AD118="Current"),1,
IF(cleaned_data!AD118="In Arrears",0.5,
IF(cleaned_data!AD118="Defaulted",0,
IF(cleaned_data!AD118="Unknown","",""))))</f>
        <v>1</v>
      </c>
      <c r="V118" cm="1">
        <f t="array" ref="V118">_xlfn.IFS(cleaned_data!AE118&lt;=0.2,1,
cleaned_data!AE118&lt;=0.5,0.75,
cleaned_data!AE118&lt;=1,0.5,
cleaned_data!AE118&gt;1,0.25)</f>
        <v>1</v>
      </c>
      <c r="W118">
        <f>IF(cleaned_data!AJ118="Yes",1,0)</f>
        <v>1</v>
      </c>
      <c r="X118" s="2" cm="1">
        <f t="array" ref="X118">_xlfn.IFS(cleaned_data!AM118="Yes", 1,
cleaned_data!AM118="No", 0,
cleaned_data!AM118="Unknown", "")</f>
        <v>1</v>
      </c>
      <c r="Y118" cm="1">
        <f t="array" ref="Y118">_xlfn.IFS(cleaned_data!AK118="Solar", 1,
cleaned_data!AK118="Generator", 0.75,
cleaned_data!AK118="Eskom grid", 0.5,
TRUE, "")</f>
        <v>1</v>
      </c>
      <c r="Z118" cm="1">
        <f t="array" ref="Z118">_xlfn.IFS(cleaned_data!AL118="", "",
cleaned_data!AL118&lt;=8, 1,
cleaned_data!AL118&lt;=14, 0.75,
cleaned_data!AL118&lt;=21, 0.5,
cleaned_data!AL118&gt;=22, 0.25)</f>
        <v>1</v>
      </c>
      <c r="AA118" cm="1">
        <f t="array" ref="AA118">_xlfn.IFS(cleaned_data!AH118=0, 1,
cleaned_data!AH118=1, 0.75,
cleaned_data!AH118=2, 0.5,
cleaned_data!AH118&gt;=3, 0.25)</f>
        <v>0.5</v>
      </c>
      <c r="AB118" cm="1">
        <f t="array" ref="AB118">_xlfn.IFS(cleaned_data!AO118="", "",
cleaned_data!AO118&gt;=50, 1,
cleaned_data!AO118&gt;=30, 0.75,
cleaned_data!AO118&gt;=10, 0.5,
cleaned_data!AO118&lt;10, 0.25)</f>
        <v>0.75</v>
      </c>
      <c r="AC118" cm="1">
        <f t="array" ref="AC118">_xlfn.IFS(cleaned_data!AP118&gt;=50,1, cleaned_data!AP118&gt;=30,0.75, cleaned_data!AP118&gt;=10,0.5, cleaned_data!AP118&lt;10,0.25)</f>
        <v>0.75</v>
      </c>
      <c r="AD118" cm="1">
        <f t="array" ref="AD118">_xlfn.IFS(cleaned_data!AQ118&gt;=30,1,
cleaned_data!AQ118&gt;=20,0.75,
cleaned_data!AQ118&gt;=10,0.5,
cleaned_data!AQ118&lt;10,0.25)</f>
        <v>1</v>
      </c>
      <c r="AE118" cm="1">
        <f t="array" ref="AE118">_xlfn.IFS(cleaned_data!AR118&gt;=75,1,
cleaned_data!AR118&gt;=50,0.75,
cleaned_data!AR118&gt;=25,0.5,
cleaned_data!AR118&lt;25,0.25)</f>
        <v>0.5</v>
      </c>
      <c r="AF118">
        <f>IF(cleaned_data!AS118="Yes",1,0)</f>
        <v>1</v>
      </c>
    </row>
    <row r="119" spans="1:32" hidden="1" x14ac:dyDescent="0.35">
      <c r="A119" t="s">
        <v>128</v>
      </c>
      <c r="B119" t="s">
        <v>127</v>
      </c>
      <c r="C119">
        <f>IF(cleaned_data!K119="Registered",1,0)</f>
        <v>0</v>
      </c>
      <c r="D119">
        <f>IF(cleaned_data!L119="Yes",1,0)</f>
        <v>1</v>
      </c>
      <c r="E119">
        <f>IF(cleaned_data!M119="Yes",1,0)</f>
        <v>1</v>
      </c>
      <c r="F119">
        <f>IF(cleaned_data!O119="Unknown","",IF(cleaned_data!O119="Yes",1,0))</f>
        <v>0</v>
      </c>
      <c r="G119" cm="1">
        <f t="array" ref="G119">_xlfn.IFS(cleaned_data!N119="Owned",1,cleaned_data!N119="Leased",0.75,cleaned_data!N119="State land",0.5,cleaned_data!N119="Communal",0.25)</f>
        <v>0.25</v>
      </c>
      <c r="H119" s="2" cm="1">
        <f t="array" ref="H119">_xlfn.IFS(cleaned_data!G119&gt;=10,1,cleaned_data!G119&gt;=5,0.75,cleaned_data!G119&gt;=2,0.5,TRUE,0.25)</f>
        <v>1</v>
      </c>
      <c r="I119">
        <f>IF(cleaned_data!P119="None",0,1)</f>
        <v>1</v>
      </c>
      <c r="J119" s="2" cm="1">
        <f t="array" ref="J119">_xlfn.IFS(cleaned_data!H119&gt;=20,1,cleaned_data!H119&gt;=10,0.75,cleaned_data!H119&gt;=5,0.5,cleaned_data!H119&gt;=1,0.25,TRUE,0)</f>
        <v>1</v>
      </c>
      <c r="K119" cm="1">
        <f t="array" ref="K119">_xlfn.IFS(cleaned_data!Q119&gt;=100000,1,cleaned_data!Q119&gt;=50000,0.75,cleaned_data!Q119&gt;=10000,0.5,TRUE,0.25)</f>
        <v>0.75</v>
      </c>
      <c r="L119" cm="1">
        <f t="array" ref="L119">_xlfn.IFS(cleaned_data!T119="","",cleaned_data!T119&lt;=10,1,cleaned_data!T119&lt;=25,0.75,cleaned_data!T119&lt;=40,0.5, cleaned_data!T119&gt;40,0.25)</f>
        <v>0.75</v>
      </c>
      <c r="M119">
        <f>IF(cleaned_data!U119="Yes",1,0)</f>
        <v>0</v>
      </c>
      <c r="N119" cm="1">
        <f t="array" ref="N119">_xlfn.IFS(cleaned_data!V119="Unknown","",cleaned_data!V119="Yes",1,TRUE,0)</f>
        <v>0</v>
      </c>
      <c r="O119" cm="1">
        <f t="array" ref="O119">_xlfn.IFS(cleaned_data!S119&gt;=4,1,cleaned_data!S119=3,0.75,cleaned_data!S119=2,0.5,cleaned_data!S119=1,0.25,TRUE,0)</f>
        <v>0.5</v>
      </c>
      <c r="P119" cm="1">
        <f t="array" ref="P119">_xlfn.IFS(cleaned_data!AB119&gt;=50,1,cleaned_data!AB119&gt;=35,0.75,cleaned_data!AB119&gt;=20,0.5,TRUE,0.25)</f>
        <v>0.75</v>
      </c>
      <c r="Q119" cm="1">
        <f t="array" ref="Q119">_xlfn.IFS(cleaned_data!X119&gt;=5,1,cleaned_data!X119&gt;=3,0.75,cleaned_data!X119=2,0.5,cleaned_data!X119=1,0.25,TRUE,0)</f>
        <v>0.5</v>
      </c>
      <c r="R119">
        <f>IF(cleaned_data!Y119="Yes",1,0)</f>
        <v>1</v>
      </c>
      <c r="S119">
        <f>IF(OR(cleaned_data!AF119="GlobalG.A.P.",cleaned_data!AF119="Fairtrade",cleaned_data!AF119="Organic (CERES)"),1,
IF(OR(cleaned_data!AF119="SIZA",cleaned_data!AF119="Woolworths TNC",cleaned_data!AF119="Checkers Good Farming"),0.75,
IF(cleaned_data!AF119="No Certificate",0,
IF(cleaned_data!AF119="Unknown","",""))))</f>
        <v>0</v>
      </c>
      <c r="T119">
        <f>IF(cleaned_data!AG119="Yes",1,0)</f>
        <v>1</v>
      </c>
      <c r="U119">
        <f>IF(OR(cleaned_data!AD119="No Loan",cleaned_data!AD119="Settled",cleaned_data!AD119="Current"),1,
IF(cleaned_data!AD119="In Arrears",0.5,
IF(cleaned_data!AD119="Defaulted",0,
IF(cleaned_data!AD119="Unknown","",""))))</f>
        <v>0</v>
      </c>
      <c r="V119" cm="1">
        <f t="array" ref="V119">_xlfn.IFS(cleaned_data!AE119&lt;=0.2,1,
cleaned_data!AE119&lt;=0.5,0.75,
cleaned_data!AE119&lt;=1,0.5,
cleaned_data!AE119&gt;1,0.25)</f>
        <v>1</v>
      </c>
      <c r="W119">
        <f>IF(cleaned_data!AJ119="Yes",1,0)</f>
        <v>1</v>
      </c>
      <c r="X119" s="2" cm="1">
        <f t="array" ref="X119">_xlfn.IFS(cleaned_data!AM119="Yes", 1,
cleaned_data!AM119="No", 0,
cleaned_data!AM119="Unknown", "")</f>
        <v>1</v>
      </c>
      <c r="Y119" cm="1">
        <f t="array" ref="Y119">_xlfn.IFS(cleaned_data!AK119="Solar", 1,
cleaned_data!AK119="Generator", 0.75,
cleaned_data!AK119="Eskom grid", 0.5,
TRUE, "")</f>
        <v>1</v>
      </c>
      <c r="Z119" cm="1">
        <f t="array" ref="Z119">_xlfn.IFS(cleaned_data!AL119="", "",
cleaned_data!AL119&lt;=8, 1,
cleaned_data!AL119&lt;=14, 0.75,
cleaned_data!AL119&lt;=21, 0.5,
cleaned_data!AL119&gt;=22, 0.25)</f>
        <v>1</v>
      </c>
      <c r="AA119" cm="1">
        <f t="array" ref="AA119">_xlfn.IFS(cleaned_data!AH119=0, 1,
cleaned_data!AH119=1, 0.75,
cleaned_data!AH119=2, 0.5,
cleaned_data!AH119&gt;=3, 0.25)</f>
        <v>0.25</v>
      </c>
      <c r="AB119" cm="1">
        <f t="array" ref="AB119">_xlfn.IFS(cleaned_data!AO119="", "",
cleaned_data!AO119&gt;=50, 1,
cleaned_data!AO119&gt;=30, 0.75,
cleaned_data!AO119&gt;=10, 0.5,
cleaned_data!AO119&lt;10, 0.25)</f>
        <v>0.25</v>
      </c>
      <c r="AC119" cm="1">
        <f t="array" ref="AC119">_xlfn.IFS(cleaned_data!AP119&gt;=50,1, cleaned_data!AP119&gt;=30,0.75, cleaned_data!AP119&gt;=10,0.5, cleaned_data!AP119&lt;10,0.25)</f>
        <v>0.5</v>
      </c>
      <c r="AD119" cm="1">
        <f t="array" ref="AD119">_xlfn.IFS(cleaned_data!AQ119&gt;=30,1,
cleaned_data!AQ119&gt;=20,0.75,
cleaned_data!AQ119&gt;=10,0.5,
cleaned_data!AQ119&lt;10,0.25)</f>
        <v>1</v>
      </c>
      <c r="AE119" cm="1">
        <f t="array" ref="AE119">_xlfn.IFS(cleaned_data!AR119&gt;=75,1,
cleaned_data!AR119&gt;=50,0.75,
cleaned_data!AR119&gt;=25,0.5,
cleaned_data!AR119&lt;25,0.25)</f>
        <v>0.75</v>
      </c>
      <c r="AF119">
        <f>IF(cleaned_data!AS119="Yes",1,0)</f>
        <v>0</v>
      </c>
    </row>
    <row r="120" spans="1:32" hidden="1" x14ac:dyDescent="0.35">
      <c r="A120" t="s">
        <v>126</v>
      </c>
      <c r="B120" t="s">
        <v>125</v>
      </c>
      <c r="C120">
        <f>IF(cleaned_data!K120="Registered",1,0)</f>
        <v>0</v>
      </c>
      <c r="D120">
        <f>IF(cleaned_data!L120="Yes",1,0)</f>
        <v>1</v>
      </c>
      <c r="E120">
        <f>IF(cleaned_data!M120="Yes",1,0)</f>
        <v>1</v>
      </c>
      <c r="F120" t="str">
        <f>IF(cleaned_data!O120="Unknown","",IF(cleaned_data!O120="Yes",1,0))</f>
        <v/>
      </c>
      <c r="G120" cm="1">
        <f t="array" ref="G120">_xlfn.IFS(cleaned_data!N120="Owned",1,cleaned_data!N120="Leased",0.75,cleaned_data!N120="State land",0.5,cleaned_data!N120="Communal",0.25)</f>
        <v>0.75</v>
      </c>
      <c r="H120" s="2" cm="1">
        <f t="array" ref="H120">_xlfn.IFS(cleaned_data!G120&gt;=10,1,cleaned_data!G120&gt;=5,0.75,cleaned_data!G120&gt;=2,0.5,TRUE,0.25)</f>
        <v>1</v>
      </c>
      <c r="I120">
        <f>IF(cleaned_data!P120="None",0,1)</f>
        <v>1</v>
      </c>
      <c r="J120" s="2" cm="1">
        <f t="array" ref="J120">_xlfn.IFS(cleaned_data!H120&gt;=20,1,cleaned_data!H120&gt;=10,0.75,cleaned_data!H120&gt;=5,0.5,cleaned_data!H120&gt;=1,0.25,TRUE,0)</f>
        <v>1</v>
      </c>
      <c r="K120" cm="1">
        <f t="array" ref="K120">_xlfn.IFS(cleaned_data!Q120&gt;=100000,1,cleaned_data!Q120&gt;=50000,0.75,cleaned_data!Q120&gt;=10000,0.5,TRUE,0.25)</f>
        <v>1</v>
      </c>
      <c r="L120" cm="1">
        <f t="array" ref="L120">_xlfn.IFS(cleaned_data!T120="","",cleaned_data!T120&lt;=10,1,cleaned_data!T120&lt;=25,0.75,cleaned_data!T120&lt;=40,0.5, cleaned_data!T120&gt;40,0.25)</f>
        <v>0.5</v>
      </c>
      <c r="M120">
        <f>IF(cleaned_data!U120="Yes",1,0)</f>
        <v>0</v>
      </c>
      <c r="N120" cm="1">
        <f t="array" ref="N120">_xlfn.IFS(cleaned_data!V120="Unknown","",cleaned_data!V120="Yes",1,TRUE,0)</f>
        <v>0</v>
      </c>
      <c r="O120" cm="1">
        <f t="array" ref="O120">_xlfn.IFS(cleaned_data!S120&gt;=4,1,cleaned_data!S120=3,0.75,cleaned_data!S120=2,0.5,cleaned_data!S120=1,0.25,TRUE,0)</f>
        <v>1</v>
      </c>
      <c r="P120" cm="1">
        <f t="array" ref="P120">_xlfn.IFS(cleaned_data!AB120&gt;=50,1,cleaned_data!AB120&gt;=35,0.75,cleaned_data!AB120&gt;=20,0.5,TRUE,0.25)</f>
        <v>0.75</v>
      </c>
      <c r="Q120" cm="1">
        <f t="array" ref="Q120">_xlfn.IFS(cleaned_data!X120&gt;=5,1,cleaned_data!X120&gt;=3,0.75,cleaned_data!X120=2,0.5,cleaned_data!X120=1,0.25,TRUE,0)</f>
        <v>0.25</v>
      </c>
      <c r="R120">
        <f>IF(cleaned_data!Y120="Yes",1,0)</f>
        <v>1</v>
      </c>
      <c r="S120" t="str">
        <f>IF(OR(cleaned_data!AF120="GlobalG.A.P.",cleaned_data!AF120="Fairtrade",cleaned_data!AF120="Organic (CERES)"),1,
IF(OR(cleaned_data!AF120="SIZA",cleaned_data!AF120="Woolworths TNC",cleaned_data!AF120="Checkers Good Farming"),0.75,
IF(cleaned_data!AF120="No Certificate",0,
IF(cleaned_data!AF120="Unknown","",""))))</f>
        <v/>
      </c>
      <c r="T120">
        <f>IF(cleaned_data!AG120="Yes",1,0)</f>
        <v>0</v>
      </c>
      <c r="U120">
        <f>IF(OR(cleaned_data!AD120="No Loan",cleaned_data!AD120="Settled",cleaned_data!AD120="Current"),1,
IF(cleaned_data!AD120="In Arrears",0.5,
IF(cleaned_data!AD120="Defaulted",0,
IF(cleaned_data!AD120="Unknown","",""))))</f>
        <v>1</v>
      </c>
      <c r="V120" cm="1">
        <f t="array" ref="V120">_xlfn.IFS(cleaned_data!AE120&lt;=0.2,1,
cleaned_data!AE120&lt;=0.5,0.75,
cleaned_data!AE120&lt;=1,0.5,
cleaned_data!AE120&gt;1,0.25)</f>
        <v>1</v>
      </c>
      <c r="W120">
        <f>IF(cleaned_data!AJ120="Yes",1,0)</f>
        <v>1</v>
      </c>
      <c r="X120" s="2" cm="1">
        <f t="array" ref="X120">_xlfn.IFS(cleaned_data!AM120="Yes", 1,
cleaned_data!AM120="No", 0,
cleaned_data!AM120="Unknown", "")</f>
        <v>0</v>
      </c>
      <c r="Y120" cm="1">
        <f t="array" ref="Y120">_xlfn.IFS(cleaned_data!AK120="Solar", 1,
cleaned_data!AK120="Generator", 0.75,
cleaned_data!AK120="Eskom grid", 0.5,
TRUE, "")</f>
        <v>0.5</v>
      </c>
      <c r="Z120" cm="1">
        <f t="array" ref="Z120">_xlfn.IFS(cleaned_data!AL120="", "",
cleaned_data!AL120&lt;=8, 1,
cleaned_data!AL120&lt;=14, 0.75,
cleaned_data!AL120&lt;=21, 0.5,
cleaned_data!AL120&gt;=22, 0.25)</f>
        <v>0.5</v>
      </c>
      <c r="AA120" cm="1">
        <f t="array" ref="AA120">_xlfn.IFS(cleaned_data!AH120=0, 1,
cleaned_data!AH120=1, 0.75,
cleaned_data!AH120=2, 0.5,
cleaned_data!AH120&gt;=3, 0.25)</f>
        <v>0.25</v>
      </c>
      <c r="AB120" cm="1">
        <f t="array" ref="AB120">_xlfn.IFS(cleaned_data!AO120="", "",
cleaned_data!AO120&gt;=50, 1,
cleaned_data!AO120&gt;=30, 0.75,
cleaned_data!AO120&gt;=10, 0.5,
cleaned_data!AO120&lt;10, 0.25)</f>
        <v>0.75</v>
      </c>
      <c r="AC120" cm="1">
        <f t="array" ref="AC120">_xlfn.IFS(cleaned_data!AP120&gt;=50,1, cleaned_data!AP120&gt;=30,0.75, cleaned_data!AP120&gt;=10,0.5, cleaned_data!AP120&lt;10,0.25)</f>
        <v>1</v>
      </c>
      <c r="AD120" cm="1">
        <f t="array" ref="AD120">_xlfn.IFS(cleaned_data!AQ120&gt;=30,1,
cleaned_data!AQ120&gt;=20,0.75,
cleaned_data!AQ120&gt;=10,0.5,
cleaned_data!AQ120&lt;10,0.25)</f>
        <v>1</v>
      </c>
      <c r="AE120" cm="1">
        <f t="array" ref="AE120">_xlfn.IFS(cleaned_data!AR120&gt;=75,1,
cleaned_data!AR120&gt;=50,0.75,
cleaned_data!AR120&gt;=25,0.5,
cleaned_data!AR120&lt;25,0.25)</f>
        <v>1</v>
      </c>
      <c r="AF120">
        <f>IF(cleaned_data!AS120="Yes",1,0)</f>
        <v>0</v>
      </c>
    </row>
    <row r="121" spans="1:32" hidden="1" x14ac:dyDescent="0.35">
      <c r="A121" t="s">
        <v>122</v>
      </c>
      <c r="B121" t="s">
        <v>121</v>
      </c>
      <c r="C121">
        <f>IF(cleaned_data!K121="Registered",1,0)</f>
        <v>0</v>
      </c>
      <c r="D121">
        <f>IF(cleaned_data!L121="Yes",1,0)</f>
        <v>1</v>
      </c>
      <c r="E121">
        <f>IF(cleaned_data!M121="Yes",1,0)</f>
        <v>1</v>
      </c>
      <c r="F121">
        <f>IF(cleaned_data!O121="Unknown","",IF(cleaned_data!O121="Yes",1,0))</f>
        <v>1</v>
      </c>
      <c r="G121" cm="1">
        <f t="array" ref="G121">_xlfn.IFS(cleaned_data!N121="Owned",1,cleaned_data!N121="Leased",0.75,cleaned_data!N121="State land",0.5,cleaned_data!N121="Communal",0.25)</f>
        <v>1</v>
      </c>
      <c r="H121" s="2" cm="1">
        <f t="array" ref="H121">_xlfn.IFS(cleaned_data!G121&gt;=10,1,cleaned_data!G121&gt;=5,0.75,cleaned_data!G121&gt;=2,0.5,TRUE,0.25)</f>
        <v>0.75</v>
      </c>
      <c r="I121">
        <f>IF(cleaned_data!P121="None",0,1)</f>
        <v>0</v>
      </c>
      <c r="J121" s="2" cm="1">
        <f t="array" ref="J121">_xlfn.IFS(cleaned_data!H121&gt;=20,1,cleaned_data!H121&gt;=10,0.75,cleaned_data!H121&gt;=5,0.5,cleaned_data!H121&gt;=1,0.25,TRUE,0)</f>
        <v>1</v>
      </c>
      <c r="K121" cm="1">
        <f t="array" ref="K121">_xlfn.IFS(cleaned_data!Q121&gt;=100000,1,cleaned_data!Q121&gt;=50000,0.75,cleaned_data!Q121&gt;=10000,0.5,TRUE,0.25)</f>
        <v>0.5</v>
      </c>
      <c r="L121" cm="1">
        <f t="array" ref="L121">_xlfn.IFS(cleaned_data!T121="","",cleaned_data!T121&lt;=10,1,cleaned_data!T121&lt;=25,0.75,cleaned_data!T121&lt;=40,0.5, cleaned_data!T121&gt;40,0.25)</f>
        <v>0.5</v>
      </c>
      <c r="M121">
        <f>IF(cleaned_data!U121="Yes",1,0)</f>
        <v>1</v>
      </c>
      <c r="N121" cm="1">
        <f t="array" ref="N121">_xlfn.IFS(cleaned_data!V121="Unknown","",cleaned_data!V121="Yes",1,TRUE,0)</f>
        <v>0</v>
      </c>
      <c r="O121" cm="1">
        <f t="array" ref="O121">_xlfn.IFS(cleaned_data!S121&gt;=4,1,cleaned_data!S121=3,0.75,cleaned_data!S121=2,0.5,cleaned_data!S121=1,0.25,TRUE,0)</f>
        <v>0.5</v>
      </c>
      <c r="P121" cm="1">
        <f t="array" ref="P121">_xlfn.IFS(cleaned_data!AB121&gt;=50,1,cleaned_data!AB121&gt;=35,0.75,cleaned_data!AB121&gt;=20,0.5,TRUE,0.25)</f>
        <v>0.5</v>
      </c>
      <c r="Q121" cm="1">
        <f t="array" ref="Q121">_xlfn.IFS(cleaned_data!X121&gt;=5,1,cleaned_data!X121&gt;=3,0.75,cleaned_data!X121=2,0.5,cleaned_data!X121=1,0.25,TRUE,0)</f>
        <v>1</v>
      </c>
      <c r="R121">
        <f>IF(cleaned_data!Y121="Yes",1,0)</f>
        <v>1</v>
      </c>
      <c r="S121">
        <f>IF(OR(cleaned_data!AF121="GlobalG.A.P.",cleaned_data!AF121="Fairtrade",cleaned_data!AF121="Organic (CERES)"),1,
IF(OR(cleaned_data!AF121="SIZA",cleaned_data!AF121="Woolworths TNC",cleaned_data!AF121="Checkers Good Farming"),0.75,
IF(cleaned_data!AF121="No Certificate",0,
IF(cleaned_data!AF121="Unknown","",""))))</f>
        <v>0.75</v>
      </c>
      <c r="T121">
        <f>IF(cleaned_data!AG121="Yes",1,0)</f>
        <v>1</v>
      </c>
      <c r="U121">
        <f>IF(OR(cleaned_data!AD121="No Loan",cleaned_data!AD121="Settled",cleaned_data!AD121="Current"),1,
IF(cleaned_data!AD121="In Arrears",0.5,
IF(cleaned_data!AD121="Defaulted",0,
IF(cleaned_data!AD121="Unknown","",""))))</f>
        <v>1</v>
      </c>
      <c r="V121" cm="1">
        <f t="array" ref="V121">_xlfn.IFS(cleaned_data!AE121&lt;=0.2,1,
cleaned_data!AE121&lt;=0.5,0.75,
cleaned_data!AE121&lt;=1,0.5,
cleaned_data!AE121&gt;1,0.25)</f>
        <v>0.25</v>
      </c>
      <c r="W121">
        <f>IF(cleaned_data!AJ121="Yes",1,0)</f>
        <v>1</v>
      </c>
      <c r="X121" s="2" cm="1">
        <f t="array" ref="X121">_xlfn.IFS(cleaned_data!AM121="Yes", 1,
cleaned_data!AM121="No", 0,
cleaned_data!AM121="Unknown", "")</f>
        <v>0</v>
      </c>
      <c r="Y121" cm="1">
        <f t="array" ref="Y121">_xlfn.IFS(cleaned_data!AK121="Solar", 1,
cleaned_data!AK121="Generator", 0.75,
cleaned_data!AK121="Eskom grid", 0.5,
TRUE, "")</f>
        <v>0.5</v>
      </c>
      <c r="Z121" cm="1">
        <f t="array" ref="Z121">_xlfn.IFS(cleaned_data!AL121="", "",
cleaned_data!AL121&lt;=8, 1,
cleaned_data!AL121&lt;=14, 0.75,
cleaned_data!AL121&lt;=21, 0.5,
cleaned_data!AL121&gt;=22, 0.25)</f>
        <v>1</v>
      </c>
      <c r="AA121" cm="1">
        <f t="array" ref="AA121">_xlfn.IFS(cleaned_data!AH121=0, 1,
cleaned_data!AH121=1, 0.75,
cleaned_data!AH121=2, 0.5,
cleaned_data!AH121&gt;=3, 0.25)</f>
        <v>0.25</v>
      </c>
      <c r="AB121" cm="1">
        <f t="array" ref="AB121">_xlfn.IFS(cleaned_data!AO121="", "",
cleaned_data!AO121&gt;=50, 1,
cleaned_data!AO121&gt;=30, 0.75,
cleaned_data!AO121&gt;=10, 0.5,
cleaned_data!AO121&lt;10, 0.25)</f>
        <v>0.75</v>
      </c>
      <c r="AC121" cm="1">
        <f t="array" ref="AC121">_xlfn.IFS(cleaned_data!AP121&gt;=50,1, cleaned_data!AP121&gt;=30,0.75, cleaned_data!AP121&gt;=10,0.5, cleaned_data!AP121&lt;10,0.25)</f>
        <v>0.5</v>
      </c>
      <c r="AD121" cm="1">
        <f t="array" ref="AD121">_xlfn.IFS(cleaned_data!AQ121&gt;=30,1,
cleaned_data!AQ121&gt;=20,0.75,
cleaned_data!AQ121&gt;=10,0.5,
cleaned_data!AQ121&lt;10,0.25)</f>
        <v>0.5</v>
      </c>
      <c r="AE121" cm="1">
        <f t="array" ref="AE121">_xlfn.IFS(cleaned_data!AR121&gt;=75,1,
cleaned_data!AR121&gt;=50,0.75,
cleaned_data!AR121&gt;=25,0.5,
cleaned_data!AR121&lt;25,0.25)</f>
        <v>0.75</v>
      </c>
      <c r="AF121">
        <f>IF(cleaned_data!AS121="Yes",1,0)</f>
        <v>1</v>
      </c>
    </row>
    <row r="122" spans="1:32" hidden="1" x14ac:dyDescent="0.35">
      <c r="A122" t="s">
        <v>117</v>
      </c>
      <c r="B122" t="s">
        <v>116</v>
      </c>
      <c r="C122">
        <f>IF(cleaned_data!K122="Registered",1,0)</f>
        <v>0</v>
      </c>
      <c r="D122">
        <f>IF(cleaned_data!L122="Yes",1,0)</f>
        <v>1</v>
      </c>
      <c r="E122">
        <f>IF(cleaned_data!M122="Yes",1,0)</f>
        <v>0</v>
      </c>
      <c r="F122">
        <f>IF(cleaned_data!O122="Unknown","",IF(cleaned_data!O122="Yes",1,0))</f>
        <v>0</v>
      </c>
      <c r="G122" cm="1">
        <f t="array" ref="G122">_xlfn.IFS(cleaned_data!N122="Owned",1,cleaned_data!N122="Leased",0.75,cleaned_data!N122="State land",0.5,cleaned_data!N122="Communal",0.25)</f>
        <v>1</v>
      </c>
      <c r="H122" s="2" cm="1">
        <f t="array" ref="H122">_xlfn.IFS(cleaned_data!G122&gt;=10,1,cleaned_data!G122&gt;=5,0.75,cleaned_data!G122&gt;=2,0.5,TRUE,0.25)</f>
        <v>0.75</v>
      </c>
      <c r="I122">
        <f>IF(cleaned_data!P122="None",0,1)</f>
        <v>1</v>
      </c>
      <c r="J122" s="2" cm="1">
        <f t="array" ref="J122">_xlfn.IFS(cleaned_data!H122&gt;=20,1,cleaned_data!H122&gt;=10,0.75,cleaned_data!H122&gt;=5,0.5,cleaned_data!H122&gt;=1,0.25,TRUE,0)</f>
        <v>0.25</v>
      </c>
      <c r="K122" cm="1">
        <f t="array" ref="K122">_xlfn.IFS(cleaned_data!Q122&gt;=100000,1,cleaned_data!Q122&gt;=50000,0.75,cleaned_data!Q122&gt;=10000,0.5,TRUE,0.25)</f>
        <v>0.5</v>
      </c>
      <c r="L122" cm="1">
        <f t="array" ref="L122">_xlfn.IFS(cleaned_data!T122="","",cleaned_data!T122&lt;=10,1,cleaned_data!T122&lt;=25,0.75,cleaned_data!T122&lt;=40,0.5, cleaned_data!T122&gt;40,0.25)</f>
        <v>0.5</v>
      </c>
      <c r="M122">
        <f>IF(cleaned_data!U122="Yes",1,0)</f>
        <v>0</v>
      </c>
      <c r="N122" cm="1">
        <f t="array" ref="N122">_xlfn.IFS(cleaned_data!V122="Unknown","",cleaned_data!V122="Yes",1,TRUE,0)</f>
        <v>0</v>
      </c>
      <c r="O122" cm="1">
        <f t="array" ref="O122">_xlfn.IFS(cleaned_data!S122&gt;=4,1,cleaned_data!S122=3,0.75,cleaned_data!S122=2,0.5,cleaned_data!S122=1,0.25,TRUE,0)</f>
        <v>0.25</v>
      </c>
      <c r="P122" cm="1">
        <f t="array" ref="P122">_xlfn.IFS(cleaned_data!AB122&gt;=50,1,cleaned_data!AB122&gt;=35,0.75,cleaned_data!AB122&gt;=20,0.5,TRUE,0.25)</f>
        <v>0.75</v>
      </c>
      <c r="Q122" cm="1">
        <f t="array" ref="Q122">_xlfn.IFS(cleaned_data!X122&gt;=5,1,cleaned_data!X122&gt;=3,0.75,cleaned_data!X122=2,0.5,cleaned_data!X122=1,0.25,TRUE,0)</f>
        <v>0.25</v>
      </c>
      <c r="R122">
        <f>IF(cleaned_data!Y122="Yes",1,0)</f>
        <v>1</v>
      </c>
      <c r="S122">
        <f>IF(OR(cleaned_data!AF122="GlobalG.A.P.",cleaned_data!AF122="Fairtrade",cleaned_data!AF122="Organic (CERES)"),1,
IF(OR(cleaned_data!AF122="SIZA",cleaned_data!AF122="Woolworths TNC",cleaned_data!AF122="Checkers Good Farming"),0.75,
IF(cleaned_data!AF122="No Certificate",0,
IF(cleaned_data!AF122="Unknown","",""))))</f>
        <v>0</v>
      </c>
      <c r="T122">
        <f>IF(cleaned_data!AG122="Yes",1,0)</f>
        <v>0</v>
      </c>
      <c r="U122">
        <f>IF(OR(cleaned_data!AD122="No Loan",cleaned_data!AD122="Settled",cleaned_data!AD122="Current"),1,
IF(cleaned_data!AD122="In Arrears",0.5,
IF(cleaned_data!AD122="Defaulted",0,
IF(cleaned_data!AD122="Unknown","",""))))</f>
        <v>1</v>
      </c>
      <c r="V122" cm="1">
        <f t="array" ref="V122">_xlfn.IFS(cleaned_data!AE122&lt;=0.2,1,
cleaned_data!AE122&lt;=0.5,0.75,
cleaned_data!AE122&lt;=1,0.5,
cleaned_data!AE122&gt;1,0.25)</f>
        <v>0.75</v>
      </c>
      <c r="W122">
        <f>IF(cleaned_data!AJ122="Yes",1,0)</f>
        <v>0</v>
      </c>
      <c r="X122" s="2" cm="1">
        <f t="array" ref="X122">_xlfn.IFS(cleaned_data!AM122="Yes", 1,
cleaned_data!AM122="No", 0,
cleaned_data!AM122="Unknown", "")</f>
        <v>0</v>
      </c>
      <c r="Y122" cm="1">
        <f t="array" ref="Y122">_xlfn.IFS(cleaned_data!AK122="Solar", 1,
cleaned_data!AK122="Generator", 0.75,
cleaned_data!AK122="Eskom grid", 0.5,
TRUE, "")</f>
        <v>0.5</v>
      </c>
      <c r="Z122" cm="1">
        <f t="array" ref="Z122">_xlfn.IFS(cleaned_data!AL122="", "",
cleaned_data!AL122&lt;=8, 1,
cleaned_data!AL122&lt;=14, 0.75,
cleaned_data!AL122&lt;=21, 0.5,
cleaned_data!AL122&gt;=22, 0.25)</f>
        <v>0.75</v>
      </c>
      <c r="AA122" cm="1">
        <f t="array" ref="AA122">_xlfn.IFS(cleaned_data!AH122=0, 1,
cleaned_data!AH122=1, 0.75,
cleaned_data!AH122=2, 0.5,
cleaned_data!AH122&gt;=3, 0.25)</f>
        <v>0.25</v>
      </c>
      <c r="AB122" cm="1">
        <f t="array" ref="AB122">_xlfn.IFS(cleaned_data!AO122="", "",
cleaned_data!AO122&gt;=50, 1,
cleaned_data!AO122&gt;=30, 0.75,
cleaned_data!AO122&gt;=10, 0.5,
cleaned_data!AO122&lt;10, 0.25)</f>
        <v>0.25</v>
      </c>
      <c r="AC122" cm="1">
        <f t="array" ref="AC122">_xlfn.IFS(cleaned_data!AP122&gt;=50,1, cleaned_data!AP122&gt;=30,0.75, cleaned_data!AP122&gt;=10,0.5, cleaned_data!AP122&lt;10,0.25)</f>
        <v>1</v>
      </c>
      <c r="AD122" cm="1">
        <f t="array" ref="AD122">_xlfn.IFS(cleaned_data!AQ122&gt;=30,1,
cleaned_data!AQ122&gt;=20,0.75,
cleaned_data!AQ122&gt;=10,0.5,
cleaned_data!AQ122&lt;10,0.25)</f>
        <v>0.5</v>
      </c>
      <c r="AE122" cm="1">
        <f t="array" ref="AE122">_xlfn.IFS(cleaned_data!AR122&gt;=75,1,
cleaned_data!AR122&gt;=50,0.75,
cleaned_data!AR122&gt;=25,0.5,
cleaned_data!AR122&lt;25,0.25)</f>
        <v>0.75</v>
      </c>
      <c r="AF122">
        <f>IF(cleaned_data!AS122="Yes",1,0)</f>
        <v>0</v>
      </c>
    </row>
    <row r="123" spans="1:32" x14ac:dyDescent="0.35">
      <c r="A123" t="s">
        <v>115</v>
      </c>
      <c r="B123" t="s">
        <v>114</v>
      </c>
      <c r="C123">
        <f>IF(cleaned_data!K123="Registered",1,0)</f>
        <v>1</v>
      </c>
      <c r="D123">
        <f>IF(cleaned_data!L123="Yes",1,0)</f>
        <v>0</v>
      </c>
      <c r="E123">
        <f>IF(cleaned_data!M123="Yes",1,0)</f>
        <v>0</v>
      </c>
      <c r="F123">
        <f>IF(cleaned_data!O123="Unknown","",IF(cleaned_data!O123="Yes",1,0))</f>
        <v>1</v>
      </c>
      <c r="G123" cm="1">
        <f t="array" ref="G123">_xlfn.IFS(cleaned_data!N123="Owned",1,cleaned_data!N123="Leased",0.75,cleaned_data!N123="State land",0.5,cleaned_data!N123="Communal",0.25)</f>
        <v>1</v>
      </c>
      <c r="H123" s="2" cm="1">
        <f t="array" ref="H123">_xlfn.IFS(cleaned_data!G123&gt;=10,1,cleaned_data!G123&gt;=5,0.75,cleaned_data!G123&gt;=2,0.5,TRUE,0.25)</f>
        <v>1</v>
      </c>
      <c r="I123">
        <f>IF(cleaned_data!P123="None",0,1)</f>
        <v>1</v>
      </c>
      <c r="J123" s="2" cm="1">
        <f t="array" ref="J123">_xlfn.IFS(cleaned_data!H123&gt;=20,1,cleaned_data!H123&gt;=10,0.75,cleaned_data!H123&gt;=5,0.5,cleaned_data!H123&gt;=1,0.25,TRUE,0)</f>
        <v>0.5</v>
      </c>
      <c r="K123" cm="1">
        <f t="array" ref="K123">_xlfn.IFS(cleaned_data!Q123&gt;=100000,1,cleaned_data!Q123&gt;=50000,0.75,cleaned_data!Q123&gt;=10000,0.5,TRUE,0.25)</f>
        <v>0.5</v>
      </c>
      <c r="L123" cm="1">
        <f t="array" ref="L123">_xlfn.IFS(cleaned_data!T123="","",cleaned_data!T123&lt;=10,1,cleaned_data!T123&lt;=25,0.75,cleaned_data!T123&lt;=40,0.5, cleaned_data!T123&gt;40,0.25)</f>
        <v>0.25</v>
      </c>
      <c r="M123">
        <f>IF(cleaned_data!U123="Yes",1,0)</f>
        <v>0</v>
      </c>
      <c r="N123" cm="1">
        <f t="array" ref="N123">_xlfn.IFS(cleaned_data!V123="Unknown","",cleaned_data!V123="Yes",1,TRUE,0)</f>
        <v>1</v>
      </c>
      <c r="O123" cm="1">
        <f t="array" ref="O123">_xlfn.IFS(cleaned_data!S123&gt;=4,1,cleaned_data!S123=3,0.75,cleaned_data!S123=2,0.5,cleaned_data!S123=1,0.25,TRUE,0)</f>
        <v>0.75</v>
      </c>
      <c r="P123" cm="1">
        <f t="array" ref="P123">_xlfn.IFS(cleaned_data!AB123&gt;=50,1,cleaned_data!AB123&gt;=35,0.75,cleaned_data!AB123&gt;=20,0.5,TRUE,0.25)</f>
        <v>0.75</v>
      </c>
      <c r="Q123" cm="1">
        <f t="array" ref="Q123">_xlfn.IFS(cleaned_data!X123&gt;=5,1,cleaned_data!X123&gt;=3,0.75,cleaned_data!X123=2,0.5,cleaned_data!X123=1,0.25,TRUE,0)</f>
        <v>0.75</v>
      </c>
      <c r="R123">
        <f>IF(cleaned_data!Y123="Yes",1,0)</f>
        <v>0</v>
      </c>
      <c r="S123">
        <f>IF(OR(cleaned_data!AF123="GlobalG.A.P.",cleaned_data!AF123="Fairtrade",cleaned_data!AF123="Organic (CERES)"),1,
IF(OR(cleaned_data!AF123="SIZA",cleaned_data!AF123="Woolworths TNC",cleaned_data!AF123="Checkers Good Farming"),0.75,
IF(cleaned_data!AF123="No Certificate",0,
IF(cleaned_data!AF123="Unknown","",""))))</f>
        <v>0</v>
      </c>
      <c r="T123">
        <f>IF(cleaned_data!AG123="Yes",1,0)</f>
        <v>0</v>
      </c>
      <c r="U123">
        <f>IF(OR(cleaned_data!AD123="No Loan",cleaned_data!AD123="Settled",cleaned_data!AD123="Current"),1,
IF(cleaned_data!AD123="In Arrears",0.5,
IF(cleaned_data!AD123="Defaulted",0,
IF(cleaned_data!AD123="Unknown","",""))))</f>
        <v>0.5</v>
      </c>
      <c r="V123" cm="1">
        <f t="array" ref="V123">_xlfn.IFS(cleaned_data!AE123&lt;=0.2,1,
cleaned_data!AE123&lt;=0.5,0.75,
cleaned_data!AE123&lt;=1,0.5,
cleaned_data!AE123&gt;1,0.25)</f>
        <v>0.75</v>
      </c>
      <c r="W123">
        <f>IF(cleaned_data!AJ123="Yes",1,0)</f>
        <v>1</v>
      </c>
      <c r="X123" s="2" t="str" cm="1">
        <f t="array" ref="X123">_xlfn.IFS(cleaned_data!AM123="Yes", 1,
cleaned_data!AM123="No", 0,
cleaned_data!AM123="Unknown", "")</f>
        <v/>
      </c>
      <c r="Y123" cm="1">
        <f t="array" ref="Y123">_xlfn.IFS(cleaned_data!AK123="Solar", 1,
cleaned_data!AK123="Generator", 0.75,
cleaned_data!AK123="Eskom grid", 0.5,
TRUE, "")</f>
        <v>0.75</v>
      </c>
      <c r="Z123" cm="1">
        <f t="array" ref="Z123">_xlfn.IFS(cleaned_data!AL123="", "",
cleaned_data!AL123&lt;=8, 1,
cleaned_data!AL123&lt;=14, 0.75,
cleaned_data!AL123&lt;=21, 0.5,
cleaned_data!AL123&gt;=22, 0.25)</f>
        <v>0.75</v>
      </c>
      <c r="AA123" cm="1">
        <f t="array" ref="AA123">_xlfn.IFS(cleaned_data!AH123=0, 1,
cleaned_data!AH123=1, 0.75,
cleaned_data!AH123=2, 0.5,
cleaned_data!AH123&gt;=3, 0.25)</f>
        <v>0.25</v>
      </c>
      <c r="AB123" cm="1">
        <f t="array" ref="AB123">_xlfn.IFS(cleaned_data!AO123="", "",
cleaned_data!AO123&gt;=50, 1,
cleaned_data!AO123&gt;=30, 0.75,
cleaned_data!AO123&gt;=10, 0.5,
cleaned_data!AO123&lt;10, 0.25)</f>
        <v>1</v>
      </c>
      <c r="AC123" cm="1">
        <f t="array" ref="AC123">_xlfn.IFS(cleaned_data!AP123&gt;=50,1, cleaned_data!AP123&gt;=30,0.75, cleaned_data!AP123&gt;=10,0.5, cleaned_data!AP123&lt;10,0.25)</f>
        <v>0.75</v>
      </c>
      <c r="AD123" cm="1">
        <f t="array" ref="AD123">_xlfn.IFS(cleaned_data!AQ123&gt;=30,1,
cleaned_data!AQ123&gt;=20,0.75,
cleaned_data!AQ123&gt;=10,0.5,
cleaned_data!AQ123&lt;10,0.25)</f>
        <v>1</v>
      </c>
      <c r="AE123" cm="1">
        <f t="array" ref="AE123">_xlfn.IFS(cleaned_data!AR123&gt;=75,1,
cleaned_data!AR123&gt;=50,0.75,
cleaned_data!AR123&gt;=25,0.5,
cleaned_data!AR123&lt;25,0.25)</f>
        <v>0.75</v>
      </c>
      <c r="AF123">
        <f>IF(cleaned_data!AS123="Yes",1,0)</f>
        <v>1</v>
      </c>
    </row>
    <row r="124" spans="1:32" hidden="1" x14ac:dyDescent="0.35">
      <c r="A124" t="s">
        <v>113</v>
      </c>
      <c r="B124" t="s">
        <v>112</v>
      </c>
      <c r="C124">
        <f>IF(cleaned_data!K124="Registered",1,0)</f>
        <v>0</v>
      </c>
      <c r="D124">
        <f>IF(cleaned_data!L124="Yes",1,0)</f>
        <v>1</v>
      </c>
      <c r="E124">
        <f>IF(cleaned_data!M124="Yes",1,0)</f>
        <v>1</v>
      </c>
      <c r="F124">
        <f>IF(cleaned_data!O124="Unknown","",IF(cleaned_data!O124="Yes",1,0))</f>
        <v>0</v>
      </c>
      <c r="G124" cm="1">
        <f t="array" ref="G124">_xlfn.IFS(cleaned_data!N124="Owned",1,cleaned_data!N124="Leased",0.75,cleaned_data!N124="State land",0.5,cleaned_data!N124="Communal",0.25)</f>
        <v>1</v>
      </c>
      <c r="H124" s="2" cm="1">
        <f t="array" ref="H124">_xlfn.IFS(cleaned_data!G124&gt;=10,1,cleaned_data!G124&gt;=5,0.75,cleaned_data!G124&gt;=2,0.5,TRUE,0.25)</f>
        <v>1</v>
      </c>
      <c r="I124">
        <f>IF(cleaned_data!P124="None",0,1)</f>
        <v>1</v>
      </c>
      <c r="J124" s="2" cm="1">
        <f t="array" ref="J124">_xlfn.IFS(cleaned_data!H124&gt;=20,1,cleaned_data!H124&gt;=10,0.75,cleaned_data!H124&gt;=5,0.5,cleaned_data!H124&gt;=1,0.25,TRUE,0)</f>
        <v>0.5</v>
      </c>
      <c r="K124" cm="1">
        <f t="array" ref="K124">_xlfn.IFS(cleaned_data!Q124&gt;=100000,1,cleaned_data!Q124&gt;=50000,0.75,cleaned_data!Q124&gt;=10000,0.5,TRUE,0.25)</f>
        <v>0.5</v>
      </c>
      <c r="L124" cm="1">
        <f t="array" ref="L124">_xlfn.IFS(cleaned_data!T124="","",cleaned_data!T124&lt;=10,1,cleaned_data!T124&lt;=25,0.75,cleaned_data!T124&lt;=40,0.5, cleaned_data!T124&gt;40,0.25)</f>
        <v>0.5</v>
      </c>
      <c r="M124">
        <f>IF(cleaned_data!U124="Yes",1,0)</f>
        <v>1</v>
      </c>
      <c r="N124" cm="1">
        <f t="array" ref="N124">_xlfn.IFS(cleaned_data!V124="Unknown","",cleaned_data!V124="Yes",1,TRUE,0)</f>
        <v>1</v>
      </c>
      <c r="O124" cm="1">
        <f t="array" ref="O124">_xlfn.IFS(cleaned_data!S124&gt;=4,1,cleaned_data!S124=3,0.75,cleaned_data!S124=2,0.5,cleaned_data!S124=1,0.25,TRUE,0)</f>
        <v>0.75</v>
      </c>
      <c r="P124" cm="1">
        <f t="array" ref="P124">_xlfn.IFS(cleaned_data!AB124&gt;=50,1,cleaned_data!AB124&gt;=35,0.75,cleaned_data!AB124&gt;=20,0.5,TRUE,0.25)</f>
        <v>0.75</v>
      </c>
      <c r="Q124" cm="1">
        <f t="array" ref="Q124">_xlfn.IFS(cleaned_data!X124&gt;=5,1,cleaned_data!X124&gt;=3,0.75,cleaned_data!X124=2,0.5,cleaned_data!X124=1,0.25,TRUE,0)</f>
        <v>0.75</v>
      </c>
      <c r="R124">
        <f>IF(cleaned_data!Y124="Yes",1,0)</f>
        <v>0</v>
      </c>
      <c r="S124">
        <f>IF(OR(cleaned_data!AF124="GlobalG.A.P.",cleaned_data!AF124="Fairtrade",cleaned_data!AF124="Organic (CERES)"),1,
IF(OR(cleaned_data!AF124="SIZA",cleaned_data!AF124="Woolworths TNC",cleaned_data!AF124="Checkers Good Farming"),0.75,
IF(cleaned_data!AF124="No Certificate",0,
IF(cleaned_data!AF124="Unknown","",""))))</f>
        <v>0</v>
      </c>
      <c r="T124">
        <f>IF(cleaned_data!AG124="Yes",1,0)</f>
        <v>0</v>
      </c>
      <c r="U124">
        <f>IF(OR(cleaned_data!AD124="No Loan",cleaned_data!AD124="Settled",cleaned_data!AD124="Current"),1,
IF(cleaned_data!AD124="In Arrears",0.5,
IF(cleaned_data!AD124="Defaulted",0,
IF(cleaned_data!AD124="Unknown","",""))))</f>
        <v>0.5</v>
      </c>
      <c r="V124" cm="1">
        <f t="array" ref="V124">_xlfn.IFS(cleaned_data!AE124&lt;=0.2,1,
cleaned_data!AE124&lt;=0.5,0.75,
cleaned_data!AE124&lt;=1,0.5,
cleaned_data!AE124&gt;1,0.25)</f>
        <v>0.75</v>
      </c>
      <c r="W124">
        <f>IF(cleaned_data!AJ124="Yes",1,0)</f>
        <v>0</v>
      </c>
      <c r="X124" s="2" cm="1">
        <f t="array" ref="X124">_xlfn.IFS(cleaned_data!AM124="Yes", 1,
cleaned_data!AM124="No", 0,
cleaned_data!AM124="Unknown", "")</f>
        <v>0</v>
      </c>
      <c r="Y124" cm="1">
        <f t="array" ref="Y124">_xlfn.IFS(cleaned_data!AK124="Solar", 1,
cleaned_data!AK124="Generator", 0.75,
cleaned_data!AK124="Eskom grid", 0.5,
TRUE, "")</f>
        <v>0.5</v>
      </c>
      <c r="Z124" cm="1">
        <f t="array" ref="Z124">_xlfn.IFS(cleaned_data!AL124="", "",
cleaned_data!AL124&lt;=8, 1,
cleaned_data!AL124&lt;=14, 0.75,
cleaned_data!AL124&lt;=21, 0.5,
cleaned_data!AL124&gt;=22, 0.25)</f>
        <v>0.75</v>
      </c>
      <c r="AA124" cm="1">
        <f t="array" ref="AA124">_xlfn.IFS(cleaned_data!AH124=0, 1,
cleaned_data!AH124=1, 0.75,
cleaned_data!AH124=2, 0.5,
cleaned_data!AH124&gt;=3, 0.25)</f>
        <v>0.25</v>
      </c>
      <c r="AB124" cm="1">
        <f t="array" ref="AB124">_xlfn.IFS(cleaned_data!AO124="", "",
cleaned_data!AO124&gt;=50, 1,
cleaned_data!AO124&gt;=30, 0.75,
cleaned_data!AO124&gt;=10, 0.5,
cleaned_data!AO124&lt;10, 0.25)</f>
        <v>0.5</v>
      </c>
      <c r="AC124" cm="1">
        <f t="array" ref="AC124">_xlfn.IFS(cleaned_data!AP124&gt;=50,1, cleaned_data!AP124&gt;=30,0.75, cleaned_data!AP124&gt;=10,0.5, cleaned_data!AP124&lt;10,0.25)</f>
        <v>0.5</v>
      </c>
      <c r="AD124" cm="1">
        <f t="array" ref="AD124">_xlfn.IFS(cleaned_data!AQ124&gt;=30,1,
cleaned_data!AQ124&gt;=20,0.75,
cleaned_data!AQ124&gt;=10,0.5,
cleaned_data!AQ124&lt;10,0.25)</f>
        <v>0.75</v>
      </c>
      <c r="AE124" cm="1">
        <f t="array" ref="AE124">_xlfn.IFS(cleaned_data!AR124&gt;=75,1,
cleaned_data!AR124&gt;=50,0.75,
cleaned_data!AR124&gt;=25,0.5,
cleaned_data!AR124&lt;25,0.25)</f>
        <v>1</v>
      </c>
      <c r="AF124">
        <f>IF(cleaned_data!AS124="Yes",1,0)</f>
        <v>0</v>
      </c>
    </row>
    <row r="125" spans="1:32" hidden="1" x14ac:dyDescent="0.35">
      <c r="A125" t="s">
        <v>111</v>
      </c>
      <c r="B125" t="s">
        <v>110</v>
      </c>
      <c r="C125">
        <f>IF(cleaned_data!K125="Registered",1,0)</f>
        <v>0</v>
      </c>
      <c r="D125">
        <f>IF(cleaned_data!L125="Yes",1,0)</f>
        <v>0</v>
      </c>
      <c r="E125">
        <f>IF(cleaned_data!M125="Yes",1,0)</f>
        <v>0</v>
      </c>
      <c r="F125">
        <f>IF(cleaned_data!O125="Unknown","",IF(cleaned_data!O125="Yes",1,0))</f>
        <v>0</v>
      </c>
      <c r="G125" cm="1">
        <f t="array" ref="G125">_xlfn.IFS(cleaned_data!N125="Owned",1,cleaned_data!N125="Leased",0.75,cleaned_data!N125="State land",0.5,cleaned_data!N125="Communal",0.25)</f>
        <v>0.25</v>
      </c>
      <c r="H125" s="2" cm="1">
        <f t="array" ref="H125">_xlfn.IFS(cleaned_data!G125&gt;=10,1,cleaned_data!G125&gt;=5,0.75,cleaned_data!G125&gt;=2,0.5,TRUE,0.25)</f>
        <v>1</v>
      </c>
      <c r="I125">
        <f>IF(cleaned_data!P125="None",0,1)</f>
        <v>1</v>
      </c>
      <c r="J125" s="2" cm="1">
        <f t="array" ref="J125">_xlfn.IFS(cleaned_data!H125&gt;=20,1,cleaned_data!H125&gt;=10,0.75,cleaned_data!H125&gt;=5,0.5,cleaned_data!H125&gt;=1,0.25,TRUE,0)</f>
        <v>0.5</v>
      </c>
      <c r="K125" cm="1">
        <f t="array" ref="K125">_xlfn.IFS(cleaned_data!Q125&gt;=100000,1,cleaned_data!Q125&gt;=50000,0.75,cleaned_data!Q125&gt;=10000,0.5,TRUE,0.25)</f>
        <v>0.25</v>
      </c>
      <c r="L125" cm="1">
        <f t="array" ref="L125">_xlfn.IFS(cleaned_data!T125="","",cleaned_data!T125&lt;=10,1,cleaned_data!T125&lt;=25,0.75,cleaned_data!T125&lt;=40,0.5, cleaned_data!T125&gt;40,0.25)</f>
        <v>0.25</v>
      </c>
      <c r="M125">
        <f>IF(cleaned_data!U125="Yes",1,0)</f>
        <v>0</v>
      </c>
      <c r="N125" cm="1">
        <f t="array" ref="N125">_xlfn.IFS(cleaned_data!V125="Unknown","",cleaned_data!V125="Yes",1,TRUE,0)</f>
        <v>0</v>
      </c>
      <c r="O125" cm="1">
        <f t="array" ref="O125">_xlfn.IFS(cleaned_data!S125&gt;=4,1,cleaned_data!S125=3,0.75,cleaned_data!S125=2,0.5,cleaned_data!S125=1,0.25,TRUE,0)</f>
        <v>1</v>
      </c>
      <c r="P125" cm="1">
        <f t="array" ref="P125">_xlfn.IFS(cleaned_data!AB125&gt;=50,1,cleaned_data!AB125&gt;=35,0.75,cleaned_data!AB125&gt;=20,0.5,TRUE,0.25)</f>
        <v>1</v>
      </c>
      <c r="Q125" cm="1">
        <f t="array" ref="Q125">_xlfn.IFS(cleaned_data!X125&gt;=5,1,cleaned_data!X125&gt;=3,0.75,cleaned_data!X125=2,0.5,cleaned_data!X125=1,0.25,TRUE,0)</f>
        <v>0.75</v>
      </c>
      <c r="R125">
        <f>IF(cleaned_data!Y125="Yes",1,0)</f>
        <v>0</v>
      </c>
      <c r="S125">
        <f>IF(OR(cleaned_data!AF125="GlobalG.A.P.",cleaned_data!AF125="Fairtrade",cleaned_data!AF125="Organic (CERES)"),1,
IF(OR(cleaned_data!AF125="SIZA",cleaned_data!AF125="Woolworths TNC",cleaned_data!AF125="Checkers Good Farming"),0.75,
IF(cleaned_data!AF125="No Certificate",0,
IF(cleaned_data!AF125="Unknown","",""))))</f>
        <v>0</v>
      </c>
      <c r="T125">
        <f>IF(cleaned_data!AG125="Yes",1,0)</f>
        <v>0</v>
      </c>
      <c r="U125">
        <f>IF(OR(cleaned_data!AD125="No Loan",cleaned_data!AD125="Settled",cleaned_data!AD125="Current"),1,
IF(cleaned_data!AD125="In Arrears",0.5,
IF(cleaned_data!AD125="Defaulted",0,
IF(cleaned_data!AD125="Unknown","",""))))</f>
        <v>1</v>
      </c>
      <c r="V125" cm="1">
        <f t="array" ref="V125">_xlfn.IFS(cleaned_data!AE125&lt;=0.2,1,
cleaned_data!AE125&lt;=0.5,0.75,
cleaned_data!AE125&lt;=1,0.5,
cleaned_data!AE125&gt;1,0.25)</f>
        <v>0.25</v>
      </c>
      <c r="W125">
        <f>IF(cleaned_data!AJ125="Yes",1,0)</f>
        <v>0</v>
      </c>
      <c r="X125" s="2" cm="1">
        <f t="array" ref="X125">_xlfn.IFS(cleaned_data!AM125="Yes", 1,
cleaned_data!AM125="No", 0,
cleaned_data!AM125="Unknown", "")</f>
        <v>0</v>
      </c>
      <c r="Y125" cm="1">
        <f t="array" ref="Y125">_xlfn.IFS(cleaned_data!AK125="Solar", 1,
cleaned_data!AK125="Generator", 0.75,
cleaned_data!AK125="Eskom grid", 0.5,
TRUE, "")</f>
        <v>1</v>
      </c>
      <c r="Z125" cm="1">
        <f t="array" ref="Z125">_xlfn.IFS(cleaned_data!AL125="", "",
cleaned_data!AL125&lt;=8, 1,
cleaned_data!AL125&lt;=14, 0.75,
cleaned_data!AL125&lt;=21, 0.5,
cleaned_data!AL125&gt;=22, 0.25)</f>
        <v>1</v>
      </c>
      <c r="AA125" cm="1">
        <f t="array" ref="AA125">_xlfn.IFS(cleaned_data!AH125=0, 1,
cleaned_data!AH125=1, 0.75,
cleaned_data!AH125=2, 0.5,
cleaned_data!AH125&gt;=3, 0.25)</f>
        <v>1</v>
      </c>
      <c r="AB125" cm="1">
        <f t="array" ref="AB125">_xlfn.IFS(cleaned_data!AO125="", "",
cleaned_data!AO125&gt;=50, 1,
cleaned_data!AO125&gt;=30, 0.75,
cleaned_data!AO125&gt;=10, 0.5,
cleaned_data!AO125&lt;10, 0.25)</f>
        <v>0.5</v>
      </c>
      <c r="AC125" cm="1">
        <f t="array" ref="AC125">_xlfn.IFS(cleaned_data!AP125&gt;=50,1, cleaned_data!AP125&gt;=30,0.75, cleaned_data!AP125&gt;=10,0.5, cleaned_data!AP125&lt;10,0.25)</f>
        <v>0.75</v>
      </c>
      <c r="AD125" cm="1">
        <f t="array" ref="AD125">_xlfn.IFS(cleaned_data!AQ125&gt;=30,1,
cleaned_data!AQ125&gt;=20,0.75,
cleaned_data!AQ125&gt;=10,0.5,
cleaned_data!AQ125&lt;10,0.25)</f>
        <v>0.5</v>
      </c>
      <c r="AE125" cm="1">
        <f t="array" ref="AE125">_xlfn.IFS(cleaned_data!AR125&gt;=75,1,
cleaned_data!AR125&gt;=50,0.75,
cleaned_data!AR125&gt;=25,0.5,
cleaned_data!AR125&lt;25,0.25)</f>
        <v>1</v>
      </c>
      <c r="AF125">
        <f>IF(cleaned_data!AS125="Yes",1,0)</f>
        <v>0</v>
      </c>
    </row>
    <row r="126" spans="1:32" hidden="1" x14ac:dyDescent="0.35">
      <c r="A126" t="s">
        <v>109</v>
      </c>
      <c r="B126" t="s">
        <v>108</v>
      </c>
      <c r="C126">
        <f>IF(cleaned_data!K126="Registered",1,0)</f>
        <v>0</v>
      </c>
      <c r="D126">
        <f>IF(cleaned_data!L126="Yes",1,0)</f>
        <v>0</v>
      </c>
      <c r="E126">
        <f>IF(cleaned_data!M126="Yes",1,0)</f>
        <v>1</v>
      </c>
      <c r="F126">
        <f>IF(cleaned_data!O126="Unknown","",IF(cleaned_data!O126="Yes",1,0))</f>
        <v>0</v>
      </c>
      <c r="G126" cm="1">
        <f t="array" ref="G126">_xlfn.IFS(cleaned_data!N126="Owned",1,cleaned_data!N126="Leased",0.75,cleaned_data!N126="State land",0.5,cleaned_data!N126="Communal",0.25)</f>
        <v>0.75</v>
      </c>
      <c r="H126" s="2" cm="1">
        <f t="array" ref="H126">_xlfn.IFS(cleaned_data!G126&gt;=10,1,cleaned_data!G126&gt;=5,0.75,cleaned_data!G126&gt;=2,0.5,TRUE,0.25)</f>
        <v>1</v>
      </c>
      <c r="I126">
        <f>IF(cleaned_data!P126="None",0,1)</f>
        <v>1</v>
      </c>
      <c r="J126" s="2" cm="1">
        <f t="array" ref="J126">_xlfn.IFS(cleaned_data!H126&gt;=20,1,cleaned_data!H126&gt;=10,0.75,cleaned_data!H126&gt;=5,0.5,cleaned_data!H126&gt;=1,0.25,TRUE,0)</f>
        <v>0.75</v>
      </c>
      <c r="K126" cm="1">
        <f t="array" ref="K126">_xlfn.IFS(cleaned_data!Q126&gt;=100000,1,cleaned_data!Q126&gt;=50000,0.75,cleaned_data!Q126&gt;=10000,0.5,TRUE,0.25)</f>
        <v>0.5</v>
      </c>
      <c r="L126" cm="1">
        <f t="array" ref="L126">_xlfn.IFS(cleaned_data!T126="","",cleaned_data!T126&lt;=10,1,cleaned_data!T126&lt;=25,0.75,cleaned_data!T126&lt;=40,0.5, cleaned_data!T126&gt;40,0.25)</f>
        <v>0.25</v>
      </c>
      <c r="M126">
        <f>IF(cleaned_data!U126="Yes",1,0)</f>
        <v>0</v>
      </c>
      <c r="N126" cm="1">
        <f t="array" ref="N126">_xlfn.IFS(cleaned_data!V126="Unknown","",cleaned_data!V126="Yes",1,TRUE,0)</f>
        <v>0</v>
      </c>
      <c r="O126" cm="1">
        <f t="array" ref="O126">_xlfn.IFS(cleaned_data!S126&gt;=4,1,cleaned_data!S126=3,0.75,cleaned_data!S126=2,0.5,cleaned_data!S126=1,0.25,TRUE,0)</f>
        <v>0.5</v>
      </c>
      <c r="P126" cm="1">
        <f t="array" ref="P126">_xlfn.IFS(cleaned_data!AB126&gt;=50,1,cleaned_data!AB126&gt;=35,0.75,cleaned_data!AB126&gt;=20,0.5,TRUE,0.25)</f>
        <v>0.75</v>
      </c>
      <c r="Q126" cm="1">
        <f t="array" ref="Q126">_xlfn.IFS(cleaned_data!X126&gt;=5,1,cleaned_data!X126&gt;=3,0.75,cleaned_data!X126=2,0.5,cleaned_data!X126=1,0.25,TRUE,0)</f>
        <v>0.5</v>
      </c>
      <c r="R126">
        <f>IF(cleaned_data!Y126="Yes",1,0)</f>
        <v>1</v>
      </c>
      <c r="S126">
        <f>IF(OR(cleaned_data!AF126="GlobalG.A.P.",cleaned_data!AF126="Fairtrade",cleaned_data!AF126="Organic (CERES)"),1,
IF(OR(cleaned_data!AF126="SIZA",cleaned_data!AF126="Woolworths TNC",cleaned_data!AF126="Checkers Good Farming"),0.75,
IF(cleaned_data!AF126="No Certificate",0,
IF(cleaned_data!AF126="Unknown","",""))))</f>
        <v>0</v>
      </c>
      <c r="T126">
        <f>IF(cleaned_data!AG126="Yes",1,0)</f>
        <v>0</v>
      </c>
      <c r="U126">
        <f>IF(OR(cleaned_data!AD126="No Loan",cleaned_data!AD126="Settled",cleaned_data!AD126="Current"),1,
IF(cleaned_data!AD126="In Arrears",0.5,
IF(cleaned_data!AD126="Defaulted",0,
IF(cleaned_data!AD126="Unknown","",""))))</f>
        <v>1</v>
      </c>
      <c r="V126" cm="1">
        <f t="array" ref="V126">_xlfn.IFS(cleaned_data!AE126&lt;=0.2,1,
cleaned_data!AE126&lt;=0.5,0.75,
cleaned_data!AE126&lt;=1,0.5,
cleaned_data!AE126&gt;1,0.25)</f>
        <v>1</v>
      </c>
      <c r="W126">
        <f>IF(cleaned_data!AJ126="Yes",1,0)</f>
        <v>1</v>
      </c>
      <c r="X126" s="2" cm="1">
        <f t="array" ref="X126">_xlfn.IFS(cleaned_data!AM126="Yes", 1,
cleaned_data!AM126="No", 0,
cleaned_data!AM126="Unknown", "")</f>
        <v>0</v>
      </c>
      <c r="Y126" cm="1">
        <f t="array" ref="Y126">_xlfn.IFS(cleaned_data!AK126="Solar", 1,
cleaned_data!AK126="Generator", 0.75,
cleaned_data!AK126="Eskom grid", 0.5,
TRUE, "")</f>
        <v>0.75</v>
      </c>
      <c r="Z126" cm="1">
        <f t="array" ref="Z126">_xlfn.IFS(cleaned_data!AL126="", "",
cleaned_data!AL126&lt;=8, 1,
cleaned_data!AL126&lt;=14, 0.75,
cleaned_data!AL126&lt;=21, 0.5,
cleaned_data!AL126&gt;=22, 0.25)</f>
        <v>1</v>
      </c>
      <c r="AA126" cm="1">
        <f t="array" ref="AA126">_xlfn.IFS(cleaned_data!AH126=0, 1,
cleaned_data!AH126=1, 0.75,
cleaned_data!AH126=2, 0.5,
cleaned_data!AH126&gt;=3, 0.25)</f>
        <v>1</v>
      </c>
      <c r="AB126" cm="1">
        <f t="array" ref="AB126">_xlfn.IFS(cleaned_data!AO126="", "",
cleaned_data!AO126&gt;=50, 1,
cleaned_data!AO126&gt;=30, 0.75,
cleaned_data!AO126&gt;=10, 0.5,
cleaned_data!AO126&lt;10, 0.25)</f>
        <v>0.75</v>
      </c>
      <c r="AC126" cm="1">
        <f t="array" ref="AC126">_xlfn.IFS(cleaned_data!AP126&gt;=50,1, cleaned_data!AP126&gt;=30,0.75, cleaned_data!AP126&gt;=10,0.5, cleaned_data!AP126&lt;10,0.25)</f>
        <v>0.75</v>
      </c>
      <c r="AD126" cm="1">
        <f t="array" ref="AD126">_xlfn.IFS(cleaned_data!AQ126&gt;=30,1,
cleaned_data!AQ126&gt;=20,0.75,
cleaned_data!AQ126&gt;=10,0.5,
cleaned_data!AQ126&lt;10,0.25)</f>
        <v>1</v>
      </c>
      <c r="AE126" cm="1">
        <f t="array" ref="AE126">_xlfn.IFS(cleaned_data!AR126&gt;=75,1,
cleaned_data!AR126&gt;=50,0.75,
cleaned_data!AR126&gt;=25,0.5,
cleaned_data!AR126&lt;25,0.25)</f>
        <v>1</v>
      </c>
      <c r="AF126">
        <f>IF(cleaned_data!AS126="Yes",1,0)</f>
        <v>0</v>
      </c>
    </row>
    <row r="127" spans="1:32" hidden="1" x14ac:dyDescent="0.35">
      <c r="A127" t="s">
        <v>107</v>
      </c>
      <c r="B127" t="s">
        <v>106</v>
      </c>
      <c r="C127">
        <f>IF(cleaned_data!K127="Registered",1,0)</f>
        <v>1</v>
      </c>
      <c r="D127">
        <f>IF(cleaned_data!L127="Yes",1,0)</f>
        <v>0</v>
      </c>
      <c r="E127">
        <f>IF(cleaned_data!M127="Yes",1,0)</f>
        <v>0</v>
      </c>
      <c r="F127" t="str">
        <f>IF(cleaned_data!O127="Unknown","",IF(cleaned_data!O127="Yes",1,0))</f>
        <v/>
      </c>
      <c r="G127" cm="1">
        <f t="array" ref="G127">_xlfn.IFS(cleaned_data!N127="Owned",1,cleaned_data!N127="Leased",0.75,cleaned_data!N127="State land",0.5,cleaned_data!N127="Communal",0.25)</f>
        <v>0.75</v>
      </c>
      <c r="H127" s="2" cm="1">
        <f t="array" ref="H127">_xlfn.IFS(cleaned_data!G127&gt;=10,1,cleaned_data!G127&gt;=5,0.75,cleaned_data!G127&gt;=2,0.5,TRUE,0.25)</f>
        <v>0.5</v>
      </c>
      <c r="I127">
        <f>IF(cleaned_data!P127="None",0,1)</f>
        <v>1</v>
      </c>
      <c r="J127" s="2" cm="1">
        <f t="array" ref="J127">_xlfn.IFS(cleaned_data!H127&gt;=20,1,cleaned_data!H127&gt;=10,0.75,cleaned_data!H127&gt;=5,0.5,cleaned_data!H127&gt;=1,0.25,TRUE,0)</f>
        <v>0.75</v>
      </c>
      <c r="K127" cm="1">
        <f t="array" ref="K127">_xlfn.IFS(cleaned_data!Q127&gt;=100000,1,cleaned_data!Q127&gt;=50000,0.75,cleaned_data!Q127&gt;=10000,0.5,TRUE,0.25)</f>
        <v>0.5</v>
      </c>
      <c r="L127" cm="1">
        <f t="array" ref="L127">_xlfn.IFS(cleaned_data!T127="","",cleaned_data!T127&lt;=10,1,cleaned_data!T127&lt;=25,0.75,cleaned_data!T127&lt;=40,0.5, cleaned_data!T127&gt;40,0.25)</f>
        <v>0.25</v>
      </c>
      <c r="M127">
        <f>IF(cleaned_data!U127="Yes",1,0)</f>
        <v>0</v>
      </c>
      <c r="N127" cm="1">
        <f t="array" ref="N127">_xlfn.IFS(cleaned_data!V127="Unknown","",cleaned_data!V127="Yes",1,TRUE,0)</f>
        <v>0</v>
      </c>
      <c r="O127" cm="1">
        <f t="array" ref="O127">_xlfn.IFS(cleaned_data!S127&gt;=4,1,cleaned_data!S127=3,0.75,cleaned_data!S127=2,0.5,cleaned_data!S127=1,0.25,TRUE,0)</f>
        <v>1</v>
      </c>
      <c r="P127" cm="1">
        <f t="array" ref="P127">_xlfn.IFS(cleaned_data!AB127&gt;=50,1,cleaned_data!AB127&gt;=35,0.75,cleaned_data!AB127&gt;=20,0.5,TRUE,0.25)</f>
        <v>0.75</v>
      </c>
      <c r="Q127" cm="1">
        <f t="array" ref="Q127">_xlfn.IFS(cleaned_data!X127&gt;=5,1,cleaned_data!X127&gt;=3,0.75,cleaned_data!X127=2,0.5,cleaned_data!X127=1,0.25,TRUE,0)</f>
        <v>0.75</v>
      </c>
      <c r="R127">
        <f>IF(cleaned_data!Y127="Yes",1,0)</f>
        <v>0</v>
      </c>
      <c r="S127">
        <f>IF(OR(cleaned_data!AF127="GlobalG.A.P.",cleaned_data!AF127="Fairtrade",cleaned_data!AF127="Organic (CERES)"),1,
IF(OR(cleaned_data!AF127="SIZA",cleaned_data!AF127="Woolworths TNC",cleaned_data!AF127="Checkers Good Farming"),0.75,
IF(cleaned_data!AF127="No Certificate",0,
IF(cleaned_data!AF127="Unknown","",""))))</f>
        <v>0</v>
      </c>
      <c r="T127">
        <f>IF(cleaned_data!AG127="Yes",1,0)</f>
        <v>0</v>
      </c>
      <c r="U127">
        <f>IF(OR(cleaned_data!AD127="No Loan",cleaned_data!AD127="Settled",cleaned_data!AD127="Current"),1,
IF(cleaned_data!AD127="In Arrears",0.5,
IF(cleaned_data!AD127="Defaulted",0,
IF(cleaned_data!AD127="Unknown","",""))))</f>
        <v>0.5</v>
      </c>
      <c r="V127" cm="1">
        <f t="array" ref="V127">_xlfn.IFS(cleaned_data!AE127&lt;=0.2,1,
cleaned_data!AE127&lt;=0.5,0.75,
cleaned_data!AE127&lt;=1,0.5,
cleaned_data!AE127&gt;1,0.25)</f>
        <v>0.25</v>
      </c>
      <c r="W127">
        <f>IF(cleaned_data!AJ127="Yes",1,0)</f>
        <v>1</v>
      </c>
      <c r="X127" s="2" cm="1">
        <f t="array" ref="X127">_xlfn.IFS(cleaned_data!AM127="Yes", 1,
cleaned_data!AM127="No", 0,
cleaned_data!AM127="Unknown", "")</f>
        <v>0</v>
      </c>
      <c r="Y127" cm="1">
        <f t="array" ref="Y127">_xlfn.IFS(cleaned_data!AK127="Solar", 1,
cleaned_data!AK127="Generator", 0.75,
cleaned_data!AK127="Eskom grid", 0.5,
TRUE, "")</f>
        <v>0.5</v>
      </c>
      <c r="Z127" cm="1">
        <f t="array" ref="Z127">_xlfn.IFS(cleaned_data!AL127="", "",
cleaned_data!AL127&lt;=8, 1,
cleaned_data!AL127&lt;=14, 0.75,
cleaned_data!AL127&lt;=21, 0.5,
cleaned_data!AL127&gt;=22, 0.25)</f>
        <v>0.75</v>
      </c>
      <c r="AA127" cm="1">
        <f t="array" ref="AA127">_xlfn.IFS(cleaned_data!AH127=0, 1,
cleaned_data!AH127=1, 0.75,
cleaned_data!AH127=2, 0.5,
cleaned_data!AH127&gt;=3, 0.25)</f>
        <v>0.25</v>
      </c>
      <c r="AB127" cm="1">
        <f t="array" ref="AB127">_xlfn.IFS(cleaned_data!AO127="", "",
cleaned_data!AO127&gt;=50, 1,
cleaned_data!AO127&gt;=30, 0.75,
cleaned_data!AO127&gt;=10, 0.5,
cleaned_data!AO127&lt;10, 0.25)</f>
        <v>0.5</v>
      </c>
      <c r="AC127" cm="1">
        <f t="array" ref="AC127">_xlfn.IFS(cleaned_data!AP127&gt;=50,1, cleaned_data!AP127&gt;=30,0.75, cleaned_data!AP127&gt;=10,0.5, cleaned_data!AP127&lt;10,0.25)</f>
        <v>0.5</v>
      </c>
      <c r="AD127" cm="1">
        <f t="array" ref="AD127">_xlfn.IFS(cleaned_data!AQ127&gt;=30,1,
cleaned_data!AQ127&gt;=20,0.75,
cleaned_data!AQ127&gt;=10,0.5,
cleaned_data!AQ127&lt;10,0.25)</f>
        <v>1</v>
      </c>
      <c r="AE127" cm="1">
        <f t="array" ref="AE127">_xlfn.IFS(cleaned_data!AR127&gt;=75,1,
cleaned_data!AR127&gt;=50,0.75,
cleaned_data!AR127&gt;=25,0.5,
cleaned_data!AR127&lt;25,0.25)</f>
        <v>1</v>
      </c>
      <c r="AF127">
        <f>IF(cleaned_data!AS127="Yes",1,0)</f>
        <v>1</v>
      </c>
    </row>
    <row r="128" spans="1:32" x14ac:dyDescent="0.35">
      <c r="A128" t="s">
        <v>105</v>
      </c>
      <c r="B128" t="s">
        <v>104</v>
      </c>
      <c r="C128">
        <f>IF(cleaned_data!K128="Registered",1,0)</f>
        <v>0</v>
      </c>
      <c r="D128">
        <f>IF(cleaned_data!L128="Yes",1,0)</f>
        <v>0</v>
      </c>
      <c r="E128">
        <f>IF(cleaned_data!M128="Yes",1,0)</f>
        <v>0</v>
      </c>
      <c r="F128" t="str">
        <f>IF(cleaned_data!O128="Unknown","",IF(cleaned_data!O128="Yes",1,0))</f>
        <v/>
      </c>
      <c r="G128" cm="1">
        <f t="array" ref="G128">_xlfn.IFS(cleaned_data!N128="Owned",1,cleaned_data!N128="Leased",0.75,cleaned_data!N128="State land",0.5,cleaned_data!N128="Communal",0.25)</f>
        <v>0.75</v>
      </c>
      <c r="H128" s="2" cm="1">
        <f t="array" ref="H128">_xlfn.IFS(cleaned_data!G128&gt;=10,1,cleaned_data!G128&gt;=5,0.75,cleaned_data!G128&gt;=2,0.5,TRUE,0.25)</f>
        <v>1</v>
      </c>
      <c r="I128">
        <f>IF(cleaned_data!P128="None",0,1)</f>
        <v>1</v>
      </c>
      <c r="J128" s="2" cm="1">
        <f t="array" ref="J128">_xlfn.IFS(cleaned_data!H128&gt;=20,1,cleaned_data!H128&gt;=10,0.75,cleaned_data!H128&gt;=5,0.5,cleaned_data!H128&gt;=1,0.25,TRUE,0)</f>
        <v>0.75</v>
      </c>
      <c r="K128" cm="1">
        <f t="array" ref="K128">_xlfn.IFS(cleaned_data!Q128&gt;=100000,1,cleaned_data!Q128&gt;=50000,0.75,cleaned_data!Q128&gt;=10000,0.5,TRUE,0.25)</f>
        <v>0.5</v>
      </c>
      <c r="L128" cm="1">
        <f t="array" ref="L128">_xlfn.IFS(cleaned_data!T128="","",cleaned_data!T128&lt;=10,1,cleaned_data!T128&lt;=25,0.75,cleaned_data!T128&lt;=40,0.5, cleaned_data!T128&gt;40,0.25)</f>
        <v>0.25</v>
      </c>
      <c r="M128">
        <f>IF(cleaned_data!U128="Yes",1,0)</f>
        <v>0</v>
      </c>
      <c r="N128" cm="1">
        <f t="array" ref="N128">_xlfn.IFS(cleaned_data!V128="Unknown","",cleaned_data!V128="Yes",1,TRUE,0)</f>
        <v>0</v>
      </c>
      <c r="O128" cm="1">
        <f t="array" ref="O128">_xlfn.IFS(cleaned_data!S128&gt;=4,1,cleaned_data!S128=3,0.75,cleaned_data!S128=2,0.5,cleaned_data!S128=1,0.25,TRUE,0)</f>
        <v>1</v>
      </c>
      <c r="P128" cm="1">
        <f t="array" ref="P128">_xlfn.IFS(cleaned_data!AB128&gt;=50,1,cleaned_data!AB128&gt;=35,0.75,cleaned_data!AB128&gt;=20,0.5,TRUE,0.25)</f>
        <v>0.5</v>
      </c>
      <c r="Q128" cm="1">
        <f t="array" ref="Q128">_xlfn.IFS(cleaned_data!X128&gt;=5,1,cleaned_data!X128&gt;=3,0.75,cleaned_data!X128=2,0.5,cleaned_data!X128=1,0.25,TRUE,0)</f>
        <v>0.5</v>
      </c>
      <c r="R128">
        <f>IF(cleaned_data!Y128="Yes",1,0)</f>
        <v>0</v>
      </c>
      <c r="S128">
        <f>IF(OR(cleaned_data!AF128="GlobalG.A.P.",cleaned_data!AF128="Fairtrade",cleaned_data!AF128="Organic (CERES)"),1,
IF(OR(cleaned_data!AF128="SIZA",cleaned_data!AF128="Woolworths TNC",cleaned_data!AF128="Checkers Good Farming"),0.75,
IF(cleaned_data!AF128="No Certificate",0,
IF(cleaned_data!AF128="Unknown","",""))))</f>
        <v>0</v>
      </c>
      <c r="T128">
        <f>IF(cleaned_data!AG128="Yes",1,0)</f>
        <v>0</v>
      </c>
      <c r="U128">
        <f>IF(OR(cleaned_data!AD128="No Loan",cleaned_data!AD128="Settled",cleaned_data!AD128="Current"),1,
IF(cleaned_data!AD128="In Arrears",0.5,
IF(cleaned_data!AD128="Defaulted",0,
IF(cleaned_data!AD128="Unknown","",""))))</f>
        <v>0.5</v>
      </c>
      <c r="V128" cm="1">
        <f t="array" ref="V128">_xlfn.IFS(cleaned_data!AE128&lt;=0.2,1,
cleaned_data!AE128&lt;=0.5,0.75,
cleaned_data!AE128&lt;=1,0.5,
cleaned_data!AE128&gt;1,0.25)</f>
        <v>0.25</v>
      </c>
      <c r="W128">
        <f>IF(cleaned_data!AJ128="Yes",1,0)</f>
        <v>1</v>
      </c>
      <c r="X128" s="2" cm="1">
        <f t="array" ref="X128">_xlfn.IFS(cleaned_data!AM128="Yes", 1,
cleaned_data!AM128="No", 0,
cleaned_data!AM128="Unknown", "")</f>
        <v>0</v>
      </c>
      <c r="Y128" cm="1">
        <f t="array" ref="Y128">_xlfn.IFS(cleaned_data!AK128="Solar", 1,
cleaned_data!AK128="Generator", 0.75,
cleaned_data!AK128="Eskom grid", 0.5,
TRUE, "")</f>
        <v>0.75</v>
      </c>
      <c r="Z128" cm="1">
        <f t="array" ref="Z128">_xlfn.IFS(cleaned_data!AL128="", "",
cleaned_data!AL128&lt;=8, 1,
cleaned_data!AL128&lt;=14, 0.75,
cleaned_data!AL128&lt;=21, 0.5,
cleaned_data!AL128&gt;=22, 0.25)</f>
        <v>1</v>
      </c>
      <c r="AA128" cm="1">
        <f t="array" ref="AA128">_xlfn.IFS(cleaned_data!AH128=0, 1,
cleaned_data!AH128=1, 0.75,
cleaned_data!AH128=2, 0.5,
cleaned_data!AH128&gt;=3, 0.25)</f>
        <v>0.25</v>
      </c>
      <c r="AB128" cm="1">
        <f t="array" ref="AB128">_xlfn.IFS(cleaned_data!AO128="", "",
cleaned_data!AO128&gt;=50, 1,
cleaned_data!AO128&gt;=30, 0.75,
cleaned_data!AO128&gt;=10, 0.5,
cleaned_data!AO128&lt;10, 0.25)</f>
        <v>1</v>
      </c>
      <c r="AC128" cm="1">
        <f t="array" ref="AC128">_xlfn.IFS(cleaned_data!AP128&gt;=50,1, cleaned_data!AP128&gt;=30,0.75, cleaned_data!AP128&gt;=10,0.5, cleaned_data!AP128&lt;10,0.25)</f>
        <v>1</v>
      </c>
      <c r="AD128" cm="1">
        <f t="array" ref="AD128">_xlfn.IFS(cleaned_data!AQ128&gt;=30,1,
cleaned_data!AQ128&gt;=20,0.75,
cleaned_data!AQ128&gt;=10,0.5,
cleaned_data!AQ128&lt;10,0.25)</f>
        <v>0.75</v>
      </c>
      <c r="AE128" cm="1">
        <f t="array" ref="AE128">_xlfn.IFS(cleaned_data!AR128&gt;=75,1,
cleaned_data!AR128&gt;=50,0.75,
cleaned_data!AR128&gt;=25,0.5,
cleaned_data!AR128&lt;25,0.25)</f>
        <v>0.5</v>
      </c>
      <c r="AF128">
        <f>IF(cleaned_data!AS128="Yes",1,0)</f>
        <v>0</v>
      </c>
    </row>
    <row r="129" spans="1:32" x14ac:dyDescent="0.35">
      <c r="A129" t="s">
        <v>103</v>
      </c>
      <c r="B129" t="s">
        <v>52</v>
      </c>
      <c r="C129">
        <f>IF(cleaned_data!K129="Registered",1,0)</f>
        <v>0</v>
      </c>
      <c r="D129">
        <f>IF(cleaned_data!L129="Yes",1,0)</f>
        <v>0</v>
      </c>
      <c r="E129">
        <f>IF(cleaned_data!M129="Yes",1,0)</f>
        <v>1</v>
      </c>
      <c r="F129">
        <f>IF(cleaned_data!O129="Unknown","",IF(cleaned_data!O129="Yes",1,0))</f>
        <v>1</v>
      </c>
      <c r="G129" cm="1">
        <f t="array" ref="G129">_xlfn.IFS(cleaned_data!N129="Owned",1,cleaned_data!N129="Leased",0.75,cleaned_data!N129="State land",0.5,cleaned_data!N129="Communal",0.25)</f>
        <v>1</v>
      </c>
      <c r="H129" s="2" cm="1">
        <f t="array" ref="H129">_xlfn.IFS(cleaned_data!G129&gt;=10,1,cleaned_data!G129&gt;=5,0.75,cleaned_data!G129&gt;=2,0.5,TRUE,0.25)</f>
        <v>1</v>
      </c>
      <c r="I129">
        <f>IF(cleaned_data!P129="None",0,1)</f>
        <v>1</v>
      </c>
      <c r="J129" s="2" cm="1">
        <f t="array" ref="J129">_xlfn.IFS(cleaned_data!H129&gt;=20,1,cleaned_data!H129&gt;=10,0.75,cleaned_data!H129&gt;=5,0.5,cleaned_data!H129&gt;=1,0.25,TRUE,0)</f>
        <v>0.75</v>
      </c>
      <c r="K129" cm="1">
        <f t="array" ref="K129">_xlfn.IFS(cleaned_data!Q129&gt;=100000,1,cleaned_data!Q129&gt;=50000,0.75,cleaned_data!Q129&gt;=10000,0.5,TRUE,0.25)</f>
        <v>0.5</v>
      </c>
      <c r="L129" cm="1">
        <f t="array" ref="L129">_xlfn.IFS(cleaned_data!T129="","",cleaned_data!T129&lt;=10,1,cleaned_data!T129&lt;=25,0.75,cleaned_data!T129&lt;=40,0.5, cleaned_data!T129&gt;40,0.25)</f>
        <v>0.25</v>
      </c>
      <c r="M129">
        <f>IF(cleaned_data!U129="Yes",1,0)</f>
        <v>0</v>
      </c>
      <c r="N129" cm="1">
        <f t="array" ref="N129">_xlfn.IFS(cleaned_data!V129="Unknown","",cleaned_data!V129="Yes",1,TRUE,0)</f>
        <v>0</v>
      </c>
      <c r="O129" cm="1">
        <f t="array" ref="O129">_xlfn.IFS(cleaned_data!S129&gt;=4,1,cleaned_data!S129=3,0.75,cleaned_data!S129=2,0.5,cleaned_data!S129=1,0.25,TRUE,0)</f>
        <v>0.75</v>
      </c>
      <c r="P129" cm="1">
        <f t="array" ref="P129">_xlfn.IFS(cleaned_data!AB129&gt;=50,1,cleaned_data!AB129&gt;=35,0.75,cleaned_data!AB129&gt;=20,0.5,TRUE,0.25)</f>
        <v>0.5</v>
      </c>
      <c r="Q129" cm="1">
        <f t="array" ref="Q129">_xlfn.IFS(cleaned_data!X129&gt;=5,1,cleaned_data!X129&gt;=3,0.75,cleaned_data!X129=2,0.5,cleaned_data!X129=1,0.25,TRUE,0)</f>
        <v>0.75</v>
      </c>
      <c r="R129">
        <f>IF(cleaned_data!Y129="Yes",1,0)</f>
        <v>0</v>
      </c>
      <c r="S129">
        <f>IF(OR(cleaned_data!AF129="GlobalG.A.P.",cleaned_data!AF129="Fairtrade",cleaned_data!AF129="Organic (CERES)"),1,
IF(OR(cleaned_data!AF129="SIZA",cleaned_data!AF129="Woolworths TNC",cleaned_data!AF129="Checkers Good Farming"),0.75,
IF(cleaned_data!AF129="No Certificate",0,
IF(cleaned_data!AF129="Unknown","",""))))</f>
        <v>0</v>
      </c>
      <c r="T129">
        <f>IF(cleaned_data!AG129="Yes",1,0)</f>
        <v>0</v>
      </c>
      <c r="U129">
        <f>IF(OR(cleaned_data!AD129="No Loan",cleaned_data!AD129="Settled",cleaned_data!AD129="Current"),1,
IF(cleaned_data!AD129="In Arrears",0.5,
IF(cleaned_data!AD129="Defaulted",0,
IF(cleaned_data!AD129="Unknown","",""))))</f>
        <v>0.5</v>
      </c>
      <c r="V129" cm="1">
        <f t="array" ref="V129">_xlfn.IFS(cleaned_data!AE129&lt;=0.2,1,
cleaned_data!AE129&lt;=0.5,0.75,
cleaned_data!AE129&lt;=1,0.5,
cleaned_data!AE129&gt;1,0.25)</f>
        <v>0.5</v>
      </c>
      <c r="W129">
        <f>IF(cleaned_data!AJ129="Yes",1,0)</f>
        <v>1</v>
      </c>
      <c r="X129" s="2" cm="1">
        <f t="array" ref="X129">_xlfn.IFS(cleaned_data!AM129="Yes", 1,
cleaned_data!AM129="No", 0,
cleaned_data!AM129="Unknown", "")</f>
        <v>0</v>
      </c>
      <c r="Y129" cm="1">
        <f t="array" ref="Y129">_xlfn.IFS(cleaned_data!AK129="Solar", 1,
cleaned_data!AK129="Generator", 0.75,
cleaned_data!AK129="Eskom grid", 0.5,
TRUE, "")</f>
        <v>0.5</v>
      </c>
      <c r="Z129" cm="1">
        <f t="array" ref="Z129">_xlfn.IFS(cleaned_data!AL129="", "",
cleaned_data!AL129&lt;=8, 1,
cleaned_data!AL129&lt;=14, 0.75,
cleaned_data!AL129&lt;=21, 0.5,
cleaned_data!AL129&gt;=22, 0.25)</f>
        <v>0.75</v>
      </c>
      <c r="AA129" cm="1">
        <f t="array" ref="AA129">_xlfn.IFS(cleaned_data!AH129=0, 1,
cleaned_data!AH129=1, 0.75,
cleaned_data!AH129=2, 0.5,
cleaned_data!AH129&gt;=3, 0.25)</f>
        <v>0.25</v>
      </c>
      <c r="AB129" cm="1">
        <f t="array" ref="AB129">_xlfn.IFS(cleaned_data!AO129="", "",
cleaned_data!AO129&gt;=50, 1,
cleaned_data!AO129&gt;=30, 0.75,
cleaned_data!AO129&gt;=10, 0.5,
cleaned_data!AO129&lt;10, 0.25)</f>
        <v>1</v>
      </c>
      <c r="AC129" cm="1">
        <f t="array" ref="AC129">_xlfn.IFS(cleaned_data!AP129&gt;=50,1, cleaned_data!AP129&gt;=30,0.75, cleaned_data!AP129&gt;=10,0.5, cleaned_data!AP129&lt;10,0.25)</f>
        <v>1</v>
      </c>
      <c r="AD129" cm="1">
        <f t="array" ref="AD129">_xlfn.IFS(cleaned_data!AQ129&gt;=30,1,
cleaned_data!AQ129&gt;=20,0.75,
cleaned_data!AQ129&gt;=10,0.5,
cleaned_data!AQ129&lt;10,0.25)</f>
        <v>1</v>
      </c>
      <c r="AE129" cm="1">
        <f t="array" ref="AE129">_xlfn.IFS(cleaned_data!AR129&gt;=75,1,
cleaned_data!AR129&gt;=50,0.75,
cleaned_data!AR129&gt;=25,0.5,
cleaned_data!AR129&lt;25,0.25)</f>
        <v>0.75</v>
      </c>
      <c r="AF129">
        <f>IF(cleaned_data!AS129="Yes",1,0)</f>
        <v>0</v>
      </c>
    </row>
    <row r="130" spans="1:32" hidden="1" x14ac:dyDescent="0.35">
      <c r="A130" t="s">
        <v>102</v>
      </c>
      <c r="B130" t="s">
        <v>101</v>
      </c>
      <c r="C130">
        <f>IF(cleaned_data!K130="Registered",1,0)</f>
        <v>1</v>
      </c>
      <c r="D130">
        <f>IF(cleaned_data!L130="Yes",1,0)</f>
        <v>0</v>
      </c>
      <c r="E130">
        <f>IF(cleaned_data!M130="Yes",1,0)</f>
        <v>1</v>
      </c>
      <c r="F130">
        <f>IF(cleaned_data!O130="Unknown","",IF(cleaned_data!O130="Yes",1,0))</f>
        <v>0</v>
      </c>
      <c r="G130" cm="1">
        <f t="array" ref="G130">_xlfn.IFS(cleaned_data!N130="Owned",1,cleaned_data!N130="Leased",0.75,cleaned_data!N130="State land",0.5,cleaned_data!N130="Communal",0.25)</f>
        <v>0.75</v>
      </c>
      <c r="H130" s="2" cm="1">
        <f t="array" ref="H130">_xlfn.IFS(cleaned_data!G130&gt;=10,1,cleaned_data!G130&gt;=5,0.75,cleaned_data!G130&gt;=2,0.5,TRUE,0.25)</f>
        <v>1</v>
      </c>
      <c r="I130">
        <f>IF(cleaned_data!P130="None",0,1)</f>
        <v>1</v>
      </c>
      <c r="J130" s="2" cm="1">
        <f t="array" ref="J130">_xlfn.IFS(cleaned_data!H130&gt;=20,1,cleaned_data!H130&gt;=10,0.75,cleaned_data!H130&gt;=5,0.5,cleaned_data!H130&gt;=1,0.25,TRUE,0)</f>
        <v>0.75</v>
      </c>
      <c r="K130" cm="1">
        <f t="array" ref="K130">_xlfn.IFS(cleaned_data!Q130&gt;=100000,1,cleaned_data!Q130&gt;=50000,0.75,cleaned_data!Q130&gt;=10000,0.5,TRUE,0.25)</f>
        <v>0.5</v>
      </c>
      <c r="L130" cm="1">
        <f t="array" ref="L130">_xlfn.IFS(cleaned_data!T130="","",cleaned_data!T130&lt;=10,1,cleaned_data!T130&lt;=25,0.75,cleaned_data!T130&lt;=40,0.5, cleaned_data!T130&gt;40,0.25)</f>
        <v>0.25</v>
      </c>
      <c r="M130">
        <f>IF(cleaned_data!U130="Yes",1,0)</f>
        <v>0</v>
      </c>
      <c r="N130" cm="1">
        <f t="array" ref="N130">_xlfn.IFS(cleaned_data!V130="Unknown","",cleaned_data!V130="Yes",1,TRUE,0)</f>
        <v>0</v>
      </c>
      <c r="O130" cm="1">
        <f t="array" ref="O130">_xlfn.IFS(cleaned_data!S130&gt;=4,1,cleaned_data!S130=3,0.75,cleaned_data!S130=2,0.5,cleaned_data!S130=1,0.25,TRUE,0)</f>
        <v>0.25</v>
      </c>
      <c r="P130" cm="1">
        <f t="array" ref="P130">_xlfn.IFS(cleaned_data!AB130&gt;=50,1,cleaned_data!AB130&gt;=35,0.75,cleaned_data!AB130&gt;=20,0.5,TRUE,0.25)</f>
        <v>0.75</v>
      </c>
      <c r="Q130" cm="1">
        <f t="array" ref="Q130">_xlfn.IFS(cleaned_data!X130&gt;=5,1,cleaned_data!X130&gt;=3,0.75,cleaned_data!X130=2,0.5,cleaned_data!X130=1,0.25,TRUE,0)</f>
        <v>0.25</v>
      </c>
      <c r="R130">
        <f>IF(cleaned_data!Y130="Yes",1,0)</f>
        <v>0</v>
      </c>
      <c r="S130">
        <f>IF(OR(cleaned_data!AF130="GlobalG.A.P.",cleaned_data!AF130="Fairtrade",cleaned_data!AF130="Organic (CERES)"),1,
IF(OR(cleaned_data!AF130="SIZA",cleaned_data!AF130="Woolworths TNC",cleaned_data!AF130="Checkers Good Farming"),0.75,
IF(cleaned_data!AF130="No Certificate",0,
IF(cleaned_data!AF130="Unknown","",""))))</f>
        <v>0</v>
      </c>
      <c r="T130">
        <f>IF(cleaned_data!AG130="Yes",1,0)</f>
        <v>0</v>
      </c>
      <c r="U130">
        <f>IF(OR(cleaned_data!AD130="No Loan",cleaned_data!AD130="Settled",cleaned_data!AD130="Current"),1,
IF(cleaned_data!AD130="In Arrears",0.5,
IF(cleaned_data!AD130="Defaulted",0,
IF(cleaned_data!AD130="Unknown","",""))))</f>
        <v>1</v>
      </c>
      <c r="V130" cm="1">
        <f t="array" ref="V130">_xlfn.IFS(cleaned_data!AE130&lt;=0.2,1,
cleaned_data!AE130&lt;=0.5,0.75,
cleaned_data!AE130&lt;=1,0.5,
cleaned_data!AE130&gt;1,0.25)</f>
        <v>1</v>
      </c>
      <c r="W130">
        <f>IF(cleaned_data!AJ130="Yes",1,0)</f>
        <v>1</v>
      </c>
      <c r="X130" s="2" cm="1">
        <f t="array" ref="X130">_xlfn.IFS(cleaned_data!AM130="Yes", 1,
cleaned_data!AM130="No", 0,
cleaned_data!AM130="Unknown", "")</f>
        <v>0</v>
      </c>
      <c r="Y130" cm="1">
        <f t="array" ref="Y130">_xlfn.IFS(cleaned_data!AK130="Solar", 1,
cleaned_data!AK130="Generator", 0.75,
cleaned_data!AK130="Eskom grid", 0.5,
TRUE, "")</f>
        <v>0.5</v>
      </c>
      <c r="Z130" cm="1">
        <f t="array" ref="Z130">_xlfn.IFS(cleaned_data!AL130="", "",
cleaned_data!AL130&lt;=8, 1,
cleaned_data!AL130&lt;=14, 0.75,
cleaned_data!AL130&lt;=21, 0.5,
cleaned_data!AL130&gt;=22, 0.25)</f>
        <v>0.75</v>
      </c>
      <c r="AA130" cm="1">
        <f t="array" ref="AA130">_xlfn.IFS(cleaned_data!AH130=0, 1,
cleaned_data!AH130=1, 0.75,
cleaned_data!AH130=2, 0.5,
cleaned_data!AH130&gt;=3, 0.25)</f>
        <v>0.5</v>
      </c>
      <c r="AB130" cm="1">
        <f t="array" ref="AB130">_xlfn.IFS(cleaned_data!AO130="", "",
cleaned_data!AO130&gt;=50, 1,
cleaned_data!AO130&gt;=30, 0.75,
cleaned_data!AO130&gt;=10, 0.5,
cleaned_data!AO130&lt;10, 0.25)</f>
        <v>0.75</v>
      </c>
      <c r="AC130" cm="1">
        <f t="array" ref="AC130">_xlfn.IFS(cleaned_data!AP130&gt;=50,1, cleaned_data!AP130&gt;=30,0.75, cleaned_data!AP130&gt;=10,0.5, cleaned_data!AP130&lt;10,0.25)</f>
        <v>1</v>
      </c>
      <c r="AD130" cm="1">
        <f t="array" ref="AD130">_xlfn.IFS(cleaned_data!AQ130&gt;=30,1,
cleaned_data!AQ130&gt;=20,0.75,
cleaned_data!AQ130&gt;=10,0.5,
cleaned_data!AQ130&lt;10,0.25)</f>
        <v>0.5</v>
      </c>
      <c r="AE130" cm="1">
        <f t="array" ref="AE130">_xlfn.IFS(cleaned_data!AR130&gt;=75,1,
cleaned_data!AR130&gt;=50,0.75,
cleaned_data!AR130&gt;=25,0.5,
cleaned_data!AR130&lt;25,0.25)</f>
        <v>0.75</v>
      </c>
      <c r="AF130">
        <f>IF(cleaned_data!AS130="Yes",1,0)</f>
        <v>1</v>
      </c>
    </row>
    <row r="131" spans="1:32" hidden="1" x14ac:dyDescent="0.35">
      <c r="A131" t="s">
        <v>100</v>
      </c>
      <c r="B131" t="s">
        <v>99</v>
      </c>
      <c r="C131">
        <f>IF(cleaned_data!K131="Registered",1,0)</f>
        <v>0</v>
      </c>
      <c r="D131">
        <f>IF(cleaned_data!L131="Yes",1,0)</f>
        <v>0</v>
      </c>
      <c r="E131">
        <f>IF(cleaned_data!M131="Yes",1,0)</f>
        <v>1</v>
      </c>
      <c r="F131">
        <f>IF(cleaned_data!O131="Unknown","",IF(cleaned_data!O131="Yes",1,0))</f>
        <v>0</v>
      </c>
      <c r="G131" cm="1">
        <f t="array" ref="G131">_xlfn.IFS(cleaned_data!N131="Owned",1,cleaned_data!N131="Leased",0.75,cleaned_data!N131="State land",0.5,cleaned_data!N131="Communal",0.25)</f>
        <v>0.5</v>
      </c>
      <c r="H131" s="2" cm="1">
        <f t="array" ref="H131">_xlfn.IFS(cleaned_data!G131&gt;=10,1,cleaned_data!G131&gt;=5,0.75,cleaned_data!G131&gt;=2,0.5,TRUE,0.25)</f>
        <v>1</v>
      </c>
      <c r="I131">
        <f>IF(cleaned_data!P131="None",0,1)</f>
        <v>1</v>
      </c>
      <c r="J131" s="2" cm="1">
        <f t="array" ref="J131">_xlfn.IFS(cleaned_data!H131&gt;=20,1,cleaned_data!H131&gt;=10,0.75,cleaned_data!H131&gt;=5,0.5,cleaned_data!H131&gt;=1,0.25,TRUE,0)</f>
        <v>0.75</v>
      </c>
      <c r="K131" cm="1">
        <f t="array" ref="K131">_xlfn.IFS(cleaned_data!Q131&gt;=100000,1,cleaned_data!Q131&gt;=50000,0.75,cleaned_data!Q131&gt;=10000,0.5,TRUE,0.25)</f>
        <v>0.25</v>
      </c>
      <c r="L131" cm="1">
        <f t="array" ref="L131">_xlfn.IFS(cleaned_data!T131="","",cleaned_data!T131&lt;=10,1,cleaned_data!T131&lt;=25,0.75,cleaned_data!T131&lt;=40,0.5, cleaned_data!T131&gt;40,0.25)</f>
        <v>0.25</v>
      </c>
      <c r="M131">
        <f>IF(cleaned_data!U131="Yes",1,0)</f>
        <v>1</v>
      </c>
      <c r="N131" cm="1">
        <f t="array" ref="N131">_xlfn.IFS(cleaned_data!V131="Unknown","",cleaned_data!V131="Yes",1,TRUE,0)</f>
        <v>0</v>
      </c>
      <c r="O131" cm="1">
        <f t="array" ref="O131">_xlfn.IFS(cleaned_data!S131&gt;=4,1,cleaned_data!S131=3,0.75,cleaned_data!S131=2,0.5,cleaned_data!S131=1,0.25,TRUE,0)</f>
        <v>1</v>
      </c>
      <c r="P131" cm="1">
        <f t="array" ref="P131">_xlfn.IFS(cleaned_data!AB131&gt;=50,1,cleaned_data!AB131&gt;=35,0.75,cleaned_data!AB131&gt;=20,0.5,TRUE,0.25)</f>
        <v>1</v>
      </c>
      <c r="Q131" cm="1">
        <f t="array" ref="Q131">_xlfn.IFS(cleaned_data!X131&gt;=5,1,cleaned_data!X131&gt;=3,0.75,cleaned_data!X131=2,0.5,cleaned_data!X131=1,0.25,TRUE,0)</f>
        <v>0.5</v>
      </c>
      <c r="R131">
        <f>IF(cleaned_data!Y131="Yes",1,0)</f>
        <v>0</v>
      </c>
      <c r="S131">
        <f>IF(OR(cleaned_data!AF131="GlobalG.A.P.",cleaned_data!AF131="Fairtrade",cleaned_data!AF131="Organic (CERES)"),1,
IF(OR(cleaned_data!AF131="SIZA",cleaned_data!AF131="Woolworths TNC",cleaned_data!AF131="Checkers Good Farming"),0.75,
IF(cleaned_data!AF131="No Certificate",0,
IF(cleaned_data!AF131="Unknown","",""))))</f>
        <v>0</v>
      </c>
      <c r="T131">
        <f>IF(cleaned_data!AG131="Yes",1,0)</f>
        <v>0</v>
      </c>
      <c r="U131">
        <f>IF(OR(cleaned_data!AD131="No Loan",cleaned_data!AD131="Settled",cleaned_data!AD131="Current"),1,
IF(cleaned_data!AD131="In Arrears",0.5,
IF(cleaned_data!AD131="Defaulted",0,
IF(cleaned_data!AD131="Unknown","",""))))</f>
        <v>1</v>
      </c>
      <c r="V131" cm="1">
        <f t="array" ref="V131">_xlfn.IFS(cleaned_data!AE131&lt;=0.2,1,
cleaned_data!AE131&lt;=0.5,0.75,
cleaned_data!AE131&lt;=1,0.5,
cleaned_data!AE131&gt;1,0.25)</f>
        <v>1</v>
      </c>
      <c r="W131">
        <f>IF(cleaned_data!AJ131="Yes",1,0)</f>
        <v>1</v>
      </c>
      <c r="X131" s="2" cm="1">
        <f t="array" ref="X131">_xlfn.IFS(cleaned_data!AM131="Yes", 1,
cleaned_data!AM131="No", 0,
cleaned_data!AM131="Unknown", "")</f>
        <v>0</v>
      </c>
      <c r="Y131" cm="1">
        <f t="array" ref="Y131">_xlfn.IFS(cleaned_data!AK131="Solar", 1,
cleaned_data!AK131="Generator", 0.75,
cleaned_data!AK131="Eskom grid", 0.5,
TRUE, "")</f>
        <v>0.75</v>
      </c>
      <c r="Z131" cm="1">
        <f t="array" ref="Z131">_xlfn.IFS(cleaned_data!AL131="", "",
cleaned_data!AL131&lt;=8, 1,
cleaned_data!AL131&lt;=14, 0.75,
cleaned_data!AL131&lt;=21, 0.5,
cleaned_data!AL131&gt;=22, 0.25)</f>
        <v>1</v>
      </c>
      <c r="AA131" cm="1">
        <f t="array" ref="AA131">_xlfn.IFS(cleaned_data!AH131=0, 1,
cleaned_data!AH131=1, 0.75,
cleaned_data!AH131=2, 0.5,
cleaned_data!AH131&gt;=3, 0.25)</f>
        <v>1</v>
      </c>
      <c r="AB131" cm="1">
        <f t="array" ref="AB131">_xlfn.IFS(cleaned_data!AO131="", "",
cleaned_data!AO131&gt;=50, 1,
cleaned_data!AO131&gt;=30, 0.75,
cleaned_data!AO131&gt;=10, 0.5,
cleaned_data!AO131&lt;10, 0.25)</f>
        <v>0.25</v>
      </c>
      <c r="AC131" cm="1">
        <f t="array" ref="AC131">_xlfn.IFS(cleaned_data!AP131&gt;=50,1, cleaned_data!AP131&gt;=30,0.75, cleaned_data!AP131&gt;=10,0.5, cleaned_data!AP131&lt;10,0.25)</f>
        <v>1</v>
      </c>
      <c r="AD131" cm="1">
        <f t="array" ref="AD131">_xlfn.IFS(cleaned_data!AQ131&gt;=30,1,
cleaned_data!AQ131&gt;=20,0.75,
cleaned_data!AQ131&gt;=10,0.5,
cleaned_data!AQ131&lt;10,0.25)</f>
        <v>1</v>
      </c>
      <c r="AE131" cm="1">
        <f t="array" ref="AE131">_xlfn.IFS(cleaned_data!AR131&gt;=75,1,
cleaned_data!AR131&gt;=50,0.75,
cleaned_data!AR131&gt;=25,0.5,
cleaned_data!AR131&lt;25,0.25)</f>
        <v>0.75</v>
      </c>
      <c r="AF131">
        <f>IF(cleaned_data!AS131="Yes",1,0)</f>
        <v>1</v>
      </c>
    </row>
    <row r="132" spans="1:32" x14ac:dyDescent="0.35">
      <c r="A132" t="s">
        <v>97</v>
      </c>
      <c r="B132" t="s">
        <v>96</v>
      </c>
      <c r="C132">
        <f>IF(cleaned_data!K132="Registered",1,0)</f>
        <v>1</v>
      </c>
      <c r="D132">
        <f>IF(cleaned_data!L132="Yes",1,0)</f>
        <v>1</v>
      </c>
      <c r="E132">
        <f>IF(cleaned_data!M132="Yes",1,0)</f>
        <v>1</v>
      </c>
      <c r="F132">
        <f>IF(cleaned_data!O132="Unknown","",IF(cleaned_data!O132="Yes",1,0))</f>
        <v>0</v>
      </c>
      <c r="G132" cm="1">
        <f t="array" ref="G132">_xlfn.IFS(cleaned_data!N132="Owned",1,cleaned_data!N132="Leased",0.75,cleaned_data!N132="State land",0.5,cleaned_data!N132="Communal",0.25)</f>
        <v>1</v>
      </c>
      <c r="H132" s="2" cm="1">
        <f t="array" ref="H132">_xlfn.IFS(cleaned_data!G132&gt;=10,1,cleaned_data!G132&gt;=5,0.75,cleaned_data!G132&gt;=2,0.5,TRUE,0.25)</f>
        <v>0.75</v>
      </c>
      <c r="I132">
        <f>IF(cleaned_data!P132="None",0,1)</f>
        <v>1</v>
      </c>
      <c r="J132" s="2" cm="1">
        <f t="array" ref="J132">_xlfn.IFS(cleaned_data!H132&gt;=20,1,cleaned_data!H132&gt;=10,0.75,cleaned_data!H132&gt;=5,0.5,cleaned_data!H132&gt;=1,0.25,TRUE,0)</f>
        <v>0.5</v>
      </c>
      <c r="K132" cm="1">
        <f t="array" ref="K132">_xlfn.IFS(cleaned_data!Q132&gt;=100000,1,cleaned_data!Q132&gt;=50000,0.75,cleaned_data!Q132&gt;=10000,0.5,TRUE,0.25)</f>
        <v>0.5</v>
      </c>
      <c r="L132" cm="1">
        <f t="array" ref="L132">_xlfn.IFS(cleaned_data!T132="","",cleaned_data!T132&lt;=10,1,cleaned_data!T132&lt;=25,0.75,cleaned_data!T132&lt;=40,0.5, cleaned_data!T132&gt;40,0.25)</f>
        <v>0.25</v>
      </c>
      <c r="M132">
        <f>IF(cleaned_data!U132="Yes",1,0)</f>
        <v>1</v>
      </c>
      <c r="N132" t="str" cm="1">
        <f t="array" ref="N132">_xlfn.IFS(cleaned_data!V132="Unknown","",cleaned_data!V132="Yes",1,TRUE,0)</f>
        <v/>
      </c>
      <c r="O132" cm="1">
        <f t="array" ref="O132">_xlfn.IFS(cleaned_data!S132&gt;=4,1,cleaned_data!S132=3,0.75,cleaned_data!S132=2,0.5,cleaned_data!S132=1,0.25,TRUE,0)</f>
        <v>0.75</v>
      </c>
      <c r="P132" cm="1">
        <f t="array" ref="P132">_xlfn.IFS(cleaned_data!AB132&gt;=50,1,cleaned_data!AB132&gt;=35,0.75,cleaned_data!AB132&gt;=20,0.5,TRUE,0.25)</f>
        <v>0.75</v>
      </c>
      <c r="Q132" cm="1">
        <f t="array" ref="Q132">_xlfn.IFS(cleaned_data!X132&gt;=5,1,cleaned_data!X132&gt;=3,0.75,cleaned_data!X132=2,0.5,cleaned_data!X132=1,0.25,TRUE,0)</f>
        <v>0.75</v>
      </c>
      <c r="R132">
        <f>IF(cleaned_data!Y132="Yes",1,0)</f>
        <v>0</v>
      </c>
      <c r="S132">
        <f>IF(OR(cleaned_data!AF132="GlobalG.A.P.",cleaned_data!AF132="Fairtrade",cleaned_data!AF132="Organic (CERES)"),1,
IF(OR(cleaned_data!AF132="SIZA",cleaned_data!AF132="Woolworths TNC",cleaned_data!AF132="Checkers Good Farming"),0.75,
IF(cleaned_data!AF132="No Certificate",0,
IF(cleaned_data!AF132="Unknown","",""))))</f>
        <v>0</v>
      </c>
      <c r="T132">
        <f>IF(cleaned_data!AG132="Yes",1,0)</f>
        <v>0</v>
      </c>
      <c r="U132">
        <f>IF(OR(cleaned_data!AD132="No Loan",cleaned_data!AD132="Settled",cleaned_data!AD132="Current"),1,
IF(cleaned_data!AD132="In Arrears",0.5,
IF(cleaned_data!AD132="Defaulted",0,
IF(cleaned_data!AD132="Unknown","",""))))</f>
        <v>1</v>
      </c>
      <c r="V132" cm="1">
        <f t="array" ref="V132">_xlfn.IFS(cleaned_data!AE132&lt;=0.2,1,
cleaned_data!AE132&lt;=0.5,0.75,
cleaned_data!AE132&lt;=1,0.5,
cleaned_data!AE132&gt;1,0.25)</f>
        <v>1</v>
      </c>
      <c r="W132">
        <f>IF(cleaned_data!AJ132="Yes",1,0)</f>
        <v>0</v>
      </c>
      <c r="X132" s="2" cm="1">
        <f t="array" ref="X132">_xlfn.IFS(cleaned_data!AM132="Yes", 1,
cleaned_data!AM132="No", 0,
cleaned_data!AM132="Unknown", "")</f>
        <v>0</v>
      </c>
      <c r="Y132" cm="1">
        <f t="array" ref="Y132">_xlfn.IFS(cleaned_data!AK132="Solar", 1,
cleaned_data!AK132="Generator", 0.75,
cleaned_data!AK132="Eskom grid", 0.5,
TRUE, "")</f>
        <v>0.5</v>
      </c>
      <c r="Z132" cm="1">
        <f t="array" ref="Z132">_xlfn.IFS(cleaned_data!AL132="", "",
cleaned_data!AL132&lt;=8, 1,
cleaned_data!AL132&lt;=14, 0.75,
cleaned_data!AL132&lt;=21, 0.5,
cleaned_data!AL132&gt;=22, 0.25)</f>
        <v>0.5</v>
      </c>
      <c r="AA132" cm="1">
        <f t="array" ref="AA132">_xlfn.IFS(cleaned_data!AH132=0, 1,
cleaned_data!AH132=1, 0.75,
cleaned_data!AH132=2, 0.5,
cleaned_data!AH132&gt;=3, 0.25)</f>
        <v>0.25</v>
      </c>
      <c r="AB132" cm="1">
        <f t="array" ref="AB132">_xlfn.IFS(cleaned_data!AO132="", "",
cleaned_data!AO132&gt;=50, 1,
cleaned_data!AO132&gt;=30, 0.75,
cleaned_data!AO132&gt;=10, 0.5,
cleaned_data!AO132&lt;10, 0.25)</f>
        <v>1</v>
      </c>
      <c r="AC132" cm="1">
        <f t="array" ref="AC132">_xlfn.IFS(cleaned_data!AP132&gt;=50,1, cleaned_data!AP132&gt;=30,0.75, cleaned_data!AP132&gt;=10,0.5, cleaned_data!AP132&lt;10,0.25)</f>
        <v>0.75</v>
      </c>
      <c r="AD132" cm="1">
        <f t="array" ref="AD132">_xlfn.IFS(cleaned_data!AQ132&gt;=30,1,
cleaned_data!AQ132&gt;=20,0.75,
cleaned_data!AQ132&gt;=10,0.5,
cleaned_data!AQ132&lt;10,0.25)</f>
        <v>1</v>
      </c>
      <c r="AE132" cm="1">
        <f t="array" ref="AE132">_xlfn.IFS(cleaned_data!AR132&gt;=75,1,
cleaned_data!AR132&gt;=50,0.75,
cleaned_data!AR132&gt;=25,0.5,
cleaned_data!AR132&lt;25,0.25)</f>
        <v>1</v>
      </c>
      <c r="AF132">
        <f>IF(cleaned_data!AS132="Yes",1,0)</f>
        <v>0</v>
      </c>
    </row>
    <row r="133" spans="1:32" x14ac:dyDescent="0.35">
      <c r="A133" t="s">
        <v>94</v>
      </c>
      <c r="B133" t="s">
        <v>93</v>
      </c>
      <c r="C133">
        <f>IF(cleaned_data!K133="Registered",1,0)</f>
        <v>0</v>
      </c>
      <c r="D133">
        <f>IF(cleaned_data!L133="Yes",1,0)</f>
        <v>0</v>
      </c>
      <c r="E133">
        <f>IF(cleaned_data!M133="Yes",1,0)</f>
        <v>0</v>
      </c>
      <c r="F133">
        <f>IF(cleaned_data!O133="Unknown","",IF(cleaned_data!O133="Yes",1,0))</f>
        <v>0</v>
      </c>
      <c r="G133" cm="1">
        <f t="array" ref="G133">_xlfn.IFS(cleaned_data!N133="Owned",1,cleaned_data!N133="Leased",0.75,cleaned_data!N133="State land",0.5,cleaned_data!N133="Communal",0.25)</f>
        <v>0.5</v>
      </c>
      <c r="H133" s="2" cm="1">
        <f t="array" ref="H133">_xlfn.IFS(cleaned_data!G133&gt;=10,1,cleaned_data!G133&gt;=5,0.75,cleaned_data!G133&gt;=2,0.5,TRUE,0.25)</f>
        <v>1</v>
      </c>
      <c r="I133">
        <f>IF(cleaned_data!P133="None",0,1)</f>
        <v>1</v>
      </c>
      <c r="J133" s="2" cm="1">
        <f t="array" ref="J133">_xlfn.IFS(cleaned_data!H133&gt;=20,1,cleaned_data!H133&gt;=10,0.75,cleaned_data!H133&gt;=5,0.5,cleaned_data!H133&gt;=1,0.25,TRUE,0)</f>
        <v>0.25</v>
      </c>
      <c r="K133" cm="1">
        <f t="array" ref="K133">_xlfn.IFS(cleaned_data!Q133&gt;=100000,1,cleaned_data!Q133&gt;=50000,0.75,cleaned_data!Q133&gt;=10000,0.5,TRUE,0.25)</f>
        <v>0.5</v>
      </c>
      <c r="L133" cm="1">
        <f t="array" ref="L133">_xlfn.IFS(cleaned_data!T133="","",cleaned_data!T133&lt;=10,1,cleaned_data!T133&lt;=25,0.75,cleaned_data!T133&lt;=40,0.5, cleaned_data!T133&gt;40,0.25)</f>
        <v>0.5</v>
      </c>
      <c r="M133">
        <f>IF(cleaned_data!U133="Yes",1,0)</f>
        <v>0</v>
      </c>
      <c r="N133" cm="1">
        <f t="array" ref="N133">_xlfn.IFS(cleaned_data!V133="Unknown","",cleaned_data!V133="Yes",1,TRUE,0)</f>
        <v>0</v>
      </c>
      <c r="O133" cm="1">
        <f t="array" ref="O133">_xlfn.IFS(cleaned_data!S133&gt;=4,1,cleaned_data!S133=3,0.75,cleaned_data!S133=2,0.5,cleaned_data!S133=1,0.25,TRUE,0)</f>
        <v>1</v>
      </c>
      <c r="P133" cm="1">
        <f t="array" ref="P133">_xlfn.IFS(cleaned_data!AB133&gt;=50,1,cleaned_data!AB133&gt;=35,0.75,cleaned_data!AB133&gt;=20,0.5,TRUE,0.25)</f>
        <v>0.75</v>
      </c>
      <c r="Q133" cm="1">
        <f t="array" ref="Q133">_xlfn.IFS(cleaned_data!X133&gt;=5,1,cleaned_data!X133&gt;=3,0.75,cleaned_data!X133=2,0.5,cleaned_data!X133=1,0.25,TRUE,0)</f>
        <v>0.5</v>
      </c>
      <c r="R133">
        <f>IF(cleaned_data!Y133="Yes",1,0)</f>
        <v>0</v>
      </c>
      <c r="S133">
        <f>IF(OR(cleaned_data!AF133="GlobalG.A.P.",cleaned_data!AF133="Fairtrade",cleaned_data!AF133="Organic (CERES)"),1,
IF(OR(cleaned_data!AF133="SIZA",cleaned_data!AF133="Woolworths TNC",cleaned_data!AF133="Checkers Good Farming"),0.75,
IF(cleaned_data!AF133="No Certificate",0,
IF(cleaned_data!AF133="Unknown","",""))))</f>
        <v>0</v>
      </c>
      <c r="T133">
        <f>IF(cleaned_data!AG133="Yes",1,0)</f>
        <v>0</v>
      </c>
      <c r="U133">
        <f>IF(OR(cleaned_data!AD133="No Loan",cleaned_data!AD133="Settled",cleaned_data!AD133="Current"),1,
IF(cleaned_data!AD133="In Arrears",0.5,
IF(cleaned_data!AD133="Defaulted",0,
IF(cleaned_data!AD133="Unknown","",""))))</f>
        <v>0</v>
      </c>
      <c r="V133" cm="1">
        <f t="array" ref="V133">_xlfn.IFS(cleaned_data!AE133&lt;=0.2,1,
cleaned_data!AE133&lt;=0.5,0.75,
cleaned_data!AE133&lt;=1,0.5,
cleaned_data!AE133&gt;1,0.25)</f>
        <v>0.25</v>
      </c>
      <c r="W133">
        <f>IF(cleaned_data!AJ133="Yes",1,0)</f>
        <v>0</v>
      </c>
      <c r="X133" s="2" cm="1">
        <f t="array" ref="X133">_xlfn.IFS(cleaned_data!AM133="Yes", 1,
cleaned_data!AM133="No", 0,
cleaned_data!AM133="Unknown", "")</f>
        <v>1</v>
      </c>
      <c r="Y133" cm="1">
        <f t="array" ref="Y133">_xlfn.IFS(cleaned_data!AK133="Solar", 1,
cleaned_data!AK133="Generator", 0.75,
cleaned_data!AK133="Eskom grid", 0.5,
TRUE, "")</f>
        <v>0.5</v>
      </c>
      <c r="Z133" cm="1">
        <f t="array" ref="Z133">_xlfn.IFS(cleaned_data!AL133="", "",
cleaned_data!AL133&lt;=8, 1,
cleaned_data!AL133&lt;=14, 0.75,
cleaned_data!AL133&lt;=21, 0.5,
cleaned_data!AL133&gt;=22, 0.25)</f>
        <v>0.75</v>
      </c>
      <c r="AA133" cm="1">
        <f t="array" ref="AA133">_xlfn.IFS(cleaned_data!AH133=0, 1,
cleaned_data!AH133=1, 0.75,
cleaned_data!AH133=2, 0.5,
cleaned_data!AH133&gt;=3, 0.25)</f>
        <v>1</v>
      </c>
      <c r="AB133" cm="1">
        <f t="array" ref="AB133">_xlfn.IFS(cleaned_data!AO133="", "",
cleaned_data!AO133&gt;=50, 1,
cleaned_data!AO133&gt;=30, 0.75,
cleaned_data!AO133&gt;=10, 0.5,
cleaned_data!AO133&lt;10, 0.25)</f>
        <v>1</v>
      </c>
      <c r="AC133" cm="1">
        <f t="array" ref="AC133">_xlfn.IFS(cleaned_data!AP133&gt;=50,1, cleaned_data!AP133&gt;=30,0.75, cleaned_data!AP133&gt;=10,0.5, cleaned_data!AP133&lt;10,0.25)</f>
        <v>0.75</v>
      </c>
      <c r="AD133" cm="1">
        <f t="array" ref="AD133">_xlfn.IFS(cleaned_data!AQ133&gt;=30,1,
cleaned_data!AQ133&gt;=20,0.75,
cleaned_data!AQ133&gt;=10,0.5,
cleaned_data!AQ133&lt;10,0.25)</f>
        <v>0.75</v>
      </c>
      <c r="AE133" cm="1">
        <f t="array" ref="AE133">_xlfn.IFS(cleaned_data!AR133&gt;=75,1,
cleaned_data!AR133&gt;=50,0.75,
cleaned_data!AR133&gt;=25,0.5,
cleaned_data!AR133&lt;25,0.25)</f>
        <v>1</v>
      </c>
      <c r="AF133">
        <f>IF(cleaned_data!AS133="Yes",1,0)</f>
        <v>0</v>
      </c>
    </row>
    <row r="134" spans="1:32" x14ac:dyDescent="0.35">
      <c r="A134" t="s">
        <v>92</v>
      </c>
      <c r="B134" t="s">
        <v>91</v>
      </c>
      <c r="C134">
        <f>IF(cleaned_data!K134="Registered",1,0)</f>
        <v>0</v>
      </c>
      <c r="D134">
        <f>IF(cleaned_data!L134="Yes",1,0)</f>
        <v>0</v>
      </c>
      <c r="E134">
        <f>IF(cleaned_data!M134="Yes",1,0)</f>
        <v>1</v>
      </c>
      <c r="F134">
        <f>IF(cleaned_data!O134="Unknown","",IF(cleaned_data!O134="Yes",1,0))</f>
        <v>0</v>
      </c>
      <c r="G134" cm="1">
        <f t="array" ref="G134">_xlfn.IFS(cleaned_data!N134="Owned",1,cleaned_data!N134="Leased",0.75,cleaned_data!N134="State land",0.5,cleaned_data!N134="Communal",0.25)</f>
        <v>0.75</v>
      </c>
      <c r="H134" s="2" cm="1">
        <f t="array" ref="H134">_xlfn.IFS(cleaned_data!G134&gt;=10,1,cleaned_data!G134&gt;=5,0.75,cleaned_data!G134&gt;=2,0.5,TRUE,0.25)</f>
        <v>0.75</v>
      </c>
      <c r="I134">
        <f>IF(cleaned_data!P134="None",0,1)</f>
        <v>1</v>
      </c>
      <c r="J134" s="2" cm="1">
        <f t="array" ref="J134">_xlfn.IFS(cleaned_data!H134&gt;=20,1,cleaned_data!H134&gt;=10,0.75,cleaned_data!H134&gt;=5,0.5,cleaned_data!H134&gt;=1,0.25,TRUE,0)</f>
        <v>0.75</v>
      </c>
      <c r="K134" cm="1">
        <f t="array" ref="K134">_xlfn.IFS(cleaned_data!Q134&gt;=100000,1,cleaned_data!Q134&gt;=50000,0.75,cleaned_data!Q134&gt;=10000,0.5,TRUE,0.25)</f>
        <v>0.25</v>
      </c>
      <c r="L134" cm="1">
        <f t="array" ref="L134">_xlfn.IFS(cleaned_data!T134="","",cleaned_data!T134&lt;=10,1,cleaned_data!T134&lt;=25,0.75,cleaned_data!T134&lt;=40,0.5, cleaned_data!T134&gt;40,0.25)</f>
        <v>0.25</v>
      </c>
      <c r="M134">
        <f>IF(cleaned_data!U134="Yes",1,0)</f>
        <v>1</v>
      </c>
      <c r="N134" cm="1">
        <f t="array" ref="N134">_xlfn.IFS(cleaned_data!V134="Unknown","",cleaned_data!V134="Yes",1,TRUE,0)</f>
        <v>0</v>
      </c>
      <c r="O134" cm="1">
        <f t="array" ref="O134">_xlfn.IFS(cleaned_data!S134&gt;=4,1,cleaned_data!S134=3,0.75,cleaned_data!S134=2,0.5,cleaned_data!S134=1,0.25,TRUE,0)</f>
        <v>1</v>
      </c>
      <c r="P134" cm="1">
        <f t="array" ref="P134">_xlfn.IFS(cleaned_data!AB134&gt;=50,1,cleaned_data!AB134&gt;=35,0.75,cleaned_data!AB134&gt;=20,0.5,TRUE,0.25)</f>
        <v>0.5</v>
      </c>
      <c r="Q134" cm="1">
        <f t="array" ref="Q134">_xlfn.IFS(cleaned_data!X134&gt;=5,1,cleaned_data!X134&gt;=3,0.75,cleaned_data!X134=2,0.5,cleaned_data!X134=1,0.25,TRUE,0)</f>
        <v>0.5</v>
      </c>
      <c r="R134">
        <f>IF(cleaned_data!Y134="Yes",1,0)</f>
        <v>1</v>
      </c>
      <c r="S134">
        <f>IF(OR(cleaned_data!AF134="GlobalG.A.P.",cleaned_data!AF134="Fairtrade",cleaned_data!AF134="Organic (CERES)"),1,
IF(OR(cleaned_data!AF134="SIZA",cleaned_data!AF134="Woolworths TNC",cleaned_data!AF134="Checkers Good Farming"),0.75,
IF(cleaned_data!AF134="No Certificate",0,
IF(cleaned_data!AF134="Unknown","",""))))</f>
        <v>0</v>
      </c>
      <c r="T134">
        <f>IF(cleaned_data!AG134="Yes",1,0)</f>
        <v>0</v>
      </c>
      <c r="U134">
        <f>IF(OR(cleaned_data!AD134="No Loan",cleaned_data!AD134="Settled",cleaned_data!AD134="Current"),1,
IF(cleaned_data!AD134="In Arrears",0.5,
IF(cleaned_data!AD134="Defaulted",0,
IF(cleaned_data!AD134="Unknown","",""))))</f>
        <v>1</v>
      </c>
      <c r="V134" cm="1">
        <f t="array" ref="V134">_xlfn.IFS(cleaned_data!AE134&lt;=0.2,1,
cleaned_data!AE134&lt;=0.5,0.75,
cleaned_data!AE134&lt;=1,0.5,
cleaned_data!AE134&gt;1,0.25)</f>
        <v>1</v>
      </c>
      <c r="W134">
        <f>IF(cleaned_data!AJ134="Yes",1,0)</f>
        <v>1</v>
      </c>
      <c r="X134" s="2" cm="1">
        <f t="array" ref="X134">_xlfn.IFS(cleaned_data!AM134="Yes", 1,
cleaned_data!AM134="No", 0,
cleaned_data!AM134="Unknown", "")</f>
        <v>0</v>
      </c>
      <c r="Y134" cm="1">
        <f t="array" ref="Y134">_xlfn.IFS(cleaned_data!AK134="Solar", 1,
cleaned_data!AK134="Generator", 0.75,
cleaned_data!AK134="Eskom grid", 0.5,
TRUE, "")</f>
        <v>0.5</v>
      </c>
      <c r="Z134" cm="1">
        <f t="array" ref="Z134">_xlfn.IFS(cleaned_data!AL134="", "",
cleaned_data!AL134&lt;=8, 1,
cleaned_data!AL134&lt;=14, 0.75,
cleaned_data!AL134&lt;=21, 0.5,
cleaned_data!AL134&gt;=22, 0.25)</f>
        <v>0.5</v>
      </c>
      <c r="AA134" cm="1">
        <f t="array" ref="AA134">_xlfn.IFS(cleaned_data!AH134=0, 1,
cleaned_data!AH134=1, 0.75,
cleaned_data!AH134=2, 0.5,
cleaned_data!AH134&gt;=3, 0.25)</f>
        <v>1</v>
      </c>
      <c r="AB134" cm="1">
        <f t="array" ref="AB134">_xlfn.IFS(cleaned_data!AO134="", "",
cleaned_data!AO134&gt;=50, 1,
cleaned_data!AO134&gt;=30, 0.75,
cleaned_data!AO134&gt;=10, 0.5,
cleaned_data!AO134&lt;10, 0.25)</f>
        <v>1</v>
      </c>
      <c r="AC134" cm="1">
        <f t="array" ref="AC134">_xlfn.IFS(cleaned_data!AP134&gt;=50,1, cleaned_data!AP134&gt;=30,0.75, cleaned_data!AP134&gt;=10,0.5, cleaned_data!AP134&lt;10,0.25)</f>
        <v>1</v>
      </c>
      <c r="AD134" cm="1">
        <f t="array" ref="AD134">_xlfn.IFS(cleaned_data!AQ134&gt;=30,1,
cleaned_data!AQ134&gt;=20,0.75,
cleaned_data!AQ134&gt;=10,0.5,
cleaned_data!AQ134&lt;10,0.25)</f>
        <v>0.75</v>
      </c>
      <c r="AE134" cm="1">
        <f t="array" ref="AE134">_xlfn.IFS(cleaned_data!AR134&gt;=75,1,
cleaned_data!AR134&gt;=50,0.75,
cleaned_data!AR134&gt;=25,0.5,
cleaned_data!AR134&lt;25,0.25)</f>
        <v>0.75</v>
      </c>
      <c r="AF134">
        <f>IF(cleaned_data!AS134="Yes",1,0)</f>
        <v>0</v>
      </c>
    </row>
    <row r="135" spans="1:32" hidden="1" x14ac:dyDescent="0.35">
      <c r="A135" t="s">
        <v>89</v>
      </c>
      <c r="B135" t="s">
        <v>88</v>
      </c>
      <c r="C135">
        <f>IF(cleaned_data!K135="Registered",1,0)</f>
        <v>0</v>
      </c>
      <c r="D135">
        <f>IF(cleaned_data!L135="Yes",1,0)</f>
        <v>0</v>
      </c>
      <c r="E135">
        <f>IF(cleaned_data!M135="Yes",1,0)</f>
        <v>1</v>
      </c>
      <c r="F135">
        <f>IF(cleaned_data!O135="Unknown","",IF(cleaned_data!O135="Yes",1,0))</f>
        <v>0</v>
      </c>
      <c r="G135" cm="1">
        <f t="array" ref="G135">_xlfn.IFS(cleaned_data!N135="Owned",1,cleaned_data!N135="Leased",0.75,cleaned_data!N135="State land",0.5,cleaned_data!N135="Communal",0.25)</f>
        <v>0.5</v>
      </c>
      <c r="H135" s="2" cm="1">
        <f t="array" ref="H135">_xlfn.IFS(cleaned_data!G135&gt;=10,1,cleaned_data!G135&gt;=5,0.75,cleaned_data!G135&gt;=2,0.5,TRUE,0.25)</f>
        <v>1</v>
      </c>
      <c r="I135">
        <f>IF(cleaned_data!P135="None",0,1)</f>
        <v>1</v>
      </c>
      <c r="J135" s="2" cm="1">
        <f t="array" ref="J135">_xlfn.IFS(cleaned_data!H135&gt;=20,1,cleaned_data!H135&gt;=10,0.75,cleaned_data!H135&gt;=5,0.5,cleaned_data!H135&gt;=1,0.25,TRUE,0)</f>
        <v>0.75</v>
      </c>
      <c r="K135" cm="1">
        <f t="array" ref="K135">_xlfn.IFS(cleaned_data!Q135&gt;=100000,1,cleaned_data!Q135&gt;=50000,0.75,cleaned_data!Q135&gt;=10000,0.5,TRUE,0.25)</f>
        <v>0.25</v>
      </c>
      <c r="L135" cm="1">
        <f t="array" ref="L135">_xlfn.IFS(cleaned_data!T135="","",cleaned_data!T135&lt;=10,1,cleaned_data!T135&lt;=25,0.75,cleaned_data!T135&lt;=40,0.5, cleaned_data!T135&gt;40,0.25)</f>
        <v>0.25</v>
      </c>
      <c r="M135">
        <f>IF(cleaned_data!U135="Yes",1,0)</f>
        <v>1</v>
      </c>
      <c r="N135" cm="1">
        <f t="array" ref="N135">_xlfn.IFS(cleaned_data!V135="Unknown","",cleaned_data!V135="Yes",1,TRUE,0)</f>
        <v>0</v>
      </c>
      <c r="O135" cm="1">
        <f t="array" ref="O135">_xlfn.IFS(cleaned_data!S135&gt;=4,1,cleaned_data!S135=3,0.75,cleaned_data!S135=2,0.5,cleaned_data!S135=1,0.25,TRUE,0)</f>
        <v>1</v>
      </c>
      <c r="P135" cm="1">
        <f t="array" ref="P135">_xlfn.IFS(cleaned_data!AB135&gt;=50,1,cleaned_data!AB135&gt;=35,0.75,cleaned_data!AB135&gt;=20,0.5,TRUE,0.25)</f>
        <v>0.75</v>
      </c>
      <c r="Q135" cm="1">
        <f t="array" ref="Q135">_xlfn.IFS(cleaned_data!X135&gt;=5,1,cleaned_data!X135&gt;=3,0.75,cleaned_data!X135=2,0.5,cleaned_data!X135=1,0.25,TRUE,0)</f>
        <v>0.75</v>
      </c>
      <c r="R135">
        <f>IF(cleaned_data!Y135="Yes",1,0)</f>
        <v>0</v>
      </c>
      <c r="S135">
        <f>IF(OR(cleaned_data!AF135="GlobalG.A.P.",cleaned_data!AF135="Fairtrade",cleaned_data!AF135="Organic (CERES)"),1,
IF(OR(cleaned_data!AF135="SIZA",cleaned_data!AF135="Woolworths TNC",cleaned_data!AF135="Checkers Good Farming"),0.75,
IF(cleaned_data!AF135="No Certificate",0,
IF(cleaned_data!AF135="Unknown","",""))))</f>
        <v>0</v>
      </c>
      <c r="T135">
        <f>IF(cleaned_data!AG135="Yes",1,0)</f>
        <v>0</v>
      </c>
      <c r="U135">
        <f>IF(OR(cleaned_data!AD135="No Loan",cleaned_data!AD135="Settled",cleaned_data!AD135="Current"),1,
IF(cleaned_data!AD135="In Arrears",0.5,
IF(cleaned_data!AD135="Defaulted",0,
IF(cleaned_data!AD135="Unknown","",""))))</f>
        <v>1</v>
      </c>
      <c r="V135" cm="1">
        <f t="array" ref="V135">_xlfn.IFS(cleaned_data!AE135&lt;=0.2,1,
cleaned_data!AE135&lt;=0.5,0.75,
cleaned_data!AE135&lt;=1,0.5,
cleaned_data!AE135&gt;1,0.25)</f>
        <v>1</v>
      </c>
      <c r="W135">
        <f>IF(cleaned_data!AJ135="Yes",1,0)</f>
        <v>0</v>
      </c>
      <c r="X135" s="2" cm="1">
        <f t="array" ref="X135">_xlfn.IFS(cleaned_data!AM135="Yes", 1,
cleaned_data!AM135="No", 0,
cleaned_data!AM135="Unknown", "")</f>
        <v>0</v>
      </c>
      <c r="Y135" cm="1">
        <f t="array" ref="Y135">_xlfn.IFS(cleaned_data!AK135="Solar", 1,
cleaned_data!AK135="Generator", 0.75,
cleaned_data!AK135="Eskom grid", 0.5,
TRUE, "")</f>
        <v>0.75</v>
      </c>
      <c r="Z135" cm="1">
        <f t="array" ref="Z135">_xlfn.IFS(cleaned_data!AL135="", "",
cleaned_data!AL135&lt;=8, 1,
cleaned_data!AL135&lt;=14, 0.75,
cleaned_data!AL135&lt;=21, 0.5,
cleaned_data!AL135&gt;=22, 0.25)</f>
        <v>1</v>
      </c>
      <c r="AA135" cm="1">
        <f t="array" ref="AA135">_xlfn.IFS(cleaned_data!AH135=0, 1,
cleaned_data!AH135=1, 0.75,
cleaned_data!AH135=2, 0.5,
cleaned_data!AH135&gt;=3, 0.25)</f>
        <v>1</v>
      </c>
      <c r="AB135" cm="1">
        <f t="array" ref="AB135">_xlfn.IFS(cleaned_data!AO135="", "",
cleaned_data!AO135&gt;=50, 1,
cleaned_data!AO135&gt;=30, 0.75,
cleaned_data!AO135&gt;=10, 0.5,
cleaned_data!AO135&lt;10, 0.25)</f>
        <v>0.75</v>
      </c>
      <c r="AC135" cm="1">
        <f t="array" ref="AC135">_xlfn.IFS(cleaned_data!AP135&gt;=50,1, cleaned_data!AP135&gt;=30,0.75, cleaned_data!AP135&gt;=10,0.5, cleaned_data!AP135&lt;10,0.25)</f>
        <v>0.75</v>
      </c>
      <c r="AD135" cm="1">
        <f t="array" ref="AD135">_xlfn.IFS(cleaned_data!AQ135&gt;=30,1,
cleaned_data!AQ135&gt;=20,0.75,
cleaned_data!AQ135&gt;=10,0.5,
cleaned_data!AQ135&lt;10,0.25)</f>
        <v>1</v>
      </c>
      <c r="AE135" cm="1">
        <f t="array" ref="AE135">_xlfn.IFS(cleaned_data!AR135&gt;=75,1,
cleaned_data!AR135&gt;=50,0.75,
cleaned_data!AR135&gt;=25,0.5,
cleaned_data!AR135&lt;25,0.25)</f>
        <v>0.75</v>
      </c>
      <c r="AF135">
        <f>IF(cleaned_data!AS135="Yes",1,0)</f>
        <v>1</v>
      </c>
    </row>
    <row r="136" spans="1:32" x14ac:dyDescent="0.35">
      <c r="A136" t="s">
        <v>86</v>
      </c>
      <c r="B136" t="s">
        <v>85</v>
      </c>
      <c r="C136">
        <f>IF(cleaned_data!K136="Registered",1,0)</f>
        <v>1</v>
      </c>
      <c r="D136">
        <f>IF(cleaned_data!L136="Yes",1,0)</f>
        <v>1</v>
      </c>
      <c r="E136">
        <f>IF(cleaned_data!M136="Yes",1,0)</f>
        <v>0</v>
      </c>
      <c r="F136">
        <f>IF(cleaned_data!O136="Unknown","",IF(cleaned_data!O136="Yes",1,0))</f>
        <v>1</v>
      </c>
      <c r="G136" cm="1">
        <f t="array" ref="G136">_xlfn.IFS(cleaned_data!N136="Owned",1,cleaned_data!N136="Leased",0.75,cleaned_data!N136="State land",0.5,cleaned_data!N136="Communal",0.25)</f>
        <v>1</v>
      </c>
      <c r="H136" s="2" cm="1">
        <f t="array" ref="H136">_xlfn.IFS(cleaned_data!G136&gt;=10,1,cleaned_data!G136&gt;=5,0.75,cleaned_data!G136&gt;=2,0.5,TRUE,0.25)</f>
        <v>1</v>
      </c>
      <c r="I136">
        <f>IF(cleaned_data!P136="None",0,1)</f>
        <v>1</v>
      </c>
      <c r="J136" s="2" cm="1">
        <f t="array" ref="J136">_xlfn.IFS(cleaned_data!H136&gt;=20,1,cleaned_data!H136&gt;=10,0.75,cleaned_data!H136&gt;=5,0.5,cleaned_data!H136&gt;=1,0.25,TRUE,0)</f>
        <v>0.5</v>
      </c>
      <c r="K136" cm="1">
        <f t="array" ref="K136">_xlfn.IFS(cleaned_data!Q136&gt;=100000,1,cleaned_data!Q136&gt;=50000,0.75,cleaned_data!Q136&gt;=10000,0.5,TRUE,0.25)</f>
        <v>0.5</v>
      </c>
      <c r="L136" cm="1">
        <f t="array" ref="L136">_xlfn.IFS(cleaned_data!T136="","",cleaned_data!T136&lt;=10,1,cleaned_data!T136&lt;=25,0.75,cleaned_data!T136&lt;=40,0.5, cleaned_data!T136&gt;40,0.25)</f>
        <v>0.25</v>
      </c>
      <c r="M136">
        <f>IF(cleaned_data!U136="Yes",1,0)</f>
        <v>0</v>
      </c>
      <c r="N136" cm="1">
        <f t="array" ref="N136">_xlfn.IFS(cleaned_data!V136="Unknown","",cleaned_data!V136="Yes",1,TRUE,0)</f>
        <v>0</v>
      </c>
      <c r="O136" cm="1">
        <f t="array" ref="O136">_xlfn.IFS(cleaned_data!S136&gt;=4,1,cleaned_data!S136=3,0.75,cleaned_data!S136=2,0.5,cleaned_data!S136=1,0.25,TRUE,0)</f>
        <v>1</v>
      </c>
      <c r="P136" cm="1">
        <f t="array" ref="P136">_xlfn.IFS(cleaned_data!AB136&gt;=50,1,cleaned_data!AB136&gt;=35,0.75,cleaned_data!AB136&gt;=20,0.5,TRUE,0.25)</f>
        <v>0.75</v>
      </c>
      <c r="Q136" cm="1">
        <f t="array" ref="Q136">_xlfn.IFS(cleaned_data!X136&gt;=5,1,cleaned_data!X136&gt;=3,0.75,cleaned_data!X136=2,0.5,cleaned_data!X136=1,0.25,TRUE,0)</f>
        <v>0.75</v>
      </c>
      <c r="R136">
        <f>IF(cleaned_data!Y136="Yes",1,0)</f>
        <v>0</v>
      </c>
      <c r="S136">
        <f>IF(OR(cleaned_data!AF136="GlobalG.A.P.",cleaned_data!AF136="Fairtrade",cleaned_data!AF136="Organic (CERES)"),1,
IF(OR(cleaned_data!AF136="SIZA",cleaned_data!AF136="Woolworths TNC",cleaned_data!AF136="Checkers Good Farming"),0.75,
IF(cleaned_data!AF136="No Certificate",0,
IF(cleaned_data!AF136="Unknown","",""))))</f>
        <v>0</v>
      </c>
      <c r="T136">
        <f>IF(cleaned_data!AG136="Yes",1,0)</f>
        <v>0</v>
      </c>
      <c r="U136">
        <f>IF(OR(cleaned_data!AD136="No Loan",cleaned_data!AD136="Settled",cleaned_data!AD136="Current"),1,
IF(cleaned_data!AD136="In Arrears",0.5,
IF(cleaned_data!AD136="Defaulted",0,
IF(cleaned_data!AD136="Unknown","",""))))</f>
        <v>0</v>
      </c>
      <c r="V136" cm="1">
        <f t="array" ref="V136">_xlfn.IFS(cleaned_data!AE136&lt;=0.2,1,
cleaned_data!AE136&lt;=0.5,0.75,
cleaned_data!AE136&lt;=1,0.5,
cleaned_data!AE136&gt;1,0.25)</f>
        <v>0.75</v>
      </c>
      <c r="W136">
        <f>IF(cleaned_data!AJ136="Yes",1,0)</f>
        <v>0</v>
      </c>
      <c r="X136" s="2" t="str" cm="1">
        <f t="array" ref="X136">_xlfn.IFS(cleaned_data!AM136="Yes", 1,
cleaned_data!AM136="No", 0,
cleaned_data!AM136="Unknown", "")</f>
        <v/>
      </c>
      <c r="Y136" cm="1">
        <f t="array" ref="Y136">_xlfn.IFS(cleaned_data!AK136="Solar", 1,
cleaned_data!AK136="Generator", 0.75,
cleaned_data!AK136="Eskom grid", 0.5,
TRUE, "")</f>
        <v>0.75</v>
      </c>
      <c r="Z136" cm="1">
        <f t="array" ref="Z136">_xlfn.IFS(cleaned_data!AL136="", "",
cleaned_data!AL136&lt;=8, 1,
cleaned_data!AL136&lt;=14, 0.75,
cleaned_data!AL136&lt;=21, 0.5,
cleaned_data!AL136&gt;=22, 0.25)</f>
        <v>0.75</v>
      </c>
      <c r="AA136" cm="1">
        <f t="array" ref="AA136">_xlfn.IFS(cleaned_data!AH136=0, 1,
cleaned_data!AH136=1, 0.75,
cleaned_data!AH136=2, 0.5,
cleaned_data!AH136&gt;=3, 0.25)</f>
        <v>0.25</v>
      </c>
      <c r="AB136" cm="1">
        <f t="array" ref="AB136">_xlfn.IFS(cleaned_data!AO136="", "",
cleaned_data!AO136&gt;=50, 1,
cleaned_data!AO136&gt;=30, 0.75,
cleaned_data!AO136&gt;=10, 0.5,
cleaned_data!AO136&lt;10, 0.25)</f>
        <v>1</v>
      </c>
      <c r="AC136" cm="1">
        <f t="array" ref="AC136">_xlfn.IFS(cleaned_data!AP136&gt;=50,1, cleaned_data!AP136&gt;=30,0.75, cleaned_data!AP136&gt;=10,0.5, cleaned_data!AP136&lt;10,0.25)</f>
        <v>1</v>
      </c>
      <c r="AD136" cm="1">
        <f t="array" ref="AD136">_xlfn.IFS(cleaned_data!AQ136&gt;=30,1,
cleaned_data!AQ136&gt;=20,0.75,
cleaned_data!AQ136&gt;=10,0.5,
cleaned_data!AQ136&lt;10,0.25)</f>
        <v>0.5</v>
      </c>
      <c r="AE136" cm="1">
        <f t="array" ref="AE136">_xlfn.IFS(cleaned_data!AR136&gt;=75,1,
cleaned_data!AR136&gt;=50,0.75,
cleaned_data!AR136&gt;=25,0.5,
cleaned_data!AR136&lt;25,0.25)</f>
        <v>0.75</v>
      </c>
      <c r="AF136">
        <f>IF(cleaned_data!AS136="Yes",1,0)</f>
        <v>0</v>
      </c>
    </row>
    <row r="137" spans="1:32" x14ac:dyDescent="0.35">
      <c r="A137" t="s">
        <v>81</v>
      </c>
      <c r="B137" t="s">
        <v>80</v>
      </c>
      <c r="C137">
        <f>IF(cleaned_data!K137="Registered",1,0)</f>
        <v>1</v>
      </c>
      <c r="D137">
        <f>IF(cleaned_data!L137="Yes",1,0)</f>
        <v>1</v>
      </c>
      <c r="E137">
        <f>IF(cleaned_data!M137="Yes",1,0)</f>
        <v>0</v>
      </c>
      <c r="F137">
        <f>IF(cleaned_data!O137="Unknown","",IF(cleaned_data!O137="Yes",1,0))</f>
        <v>0</v>
      </c>
      <c r="G137" cm="1">
        <f t="array" ref="G137">_xlfn.IFS(cleaned_data!N137="Owned",1,cleaned_data!N137="Leased",0.75,cleaned_data!N137="State land",0.5,cleaned_data!N137="Communal",0.25)</f>
        <v>1</v>
      </c>
      <c r="H137" s="2" cm="1">
        <f t="array" ref="H137">_xlfn.IFS(cleaned_data!G137&gt;=10,1,cleaned_data!G137&gt;=5,0.75,cleaned_data!G137&gt;=2,0.5,TRUE,0.25)</f>
        <v>1</v>
      </c>
      <c r="I137">
        <f>IF(cleaned_data!P137="None",0,1)</f>
        <v>1</v>
      </c>
      <c r="J137" s="2" cm="1">
        <f t="array" ref="J137">_xlfn.IFS(cleaned_data!H137&gt;=20,1,cleaned_data!H137&gt;=10,0.75,cleaned_data!H137&gt;=5,0.5,cleaned_data!H137&gt;=1,0.25,TRUE,0)</f>
        <v>0.75</v>
      </c>
      <c r="K137" cm="1">
        <f t="array" ref="K137">_xlfn.IFS(cleaned_data!Q137&gt;=100000,1,cleaned_data!Q137&gt;=50000,0.75,cleaned_data!Q137&gt;=10000,0.5,TRUE,0.25)</f>
        <v>0.5</v>
      </c>
      <c r="L137" cm="1">
        <f t="array" ref="L137">_xlfn.IFS(cleaned_data!T137="","",cleaned_data!T137&lt;=10,1,cleaned_data!T137&lt;=25,0.75,cleaned_data!T137&lt;=40,0.5, cleaned_data!T137&gt;40,0.25)</f>
        <v>0.25</v>
      </c>
      <c r="M137">
        <f>IF(cleaned_data!U137="Yes",1,0)</f>
        <v>0</v>
      </c>
      <c r="N137" cm="1">
        <f t="array" ref="N137">_xlfn.IFS(cleaned_data!V137="Unknown","",cleaned_data!V137="Yes",1,TRUE,0)</f>
        <v>0</v>
      </c>
      <c r="O137" cm="1">
        <f t="array" ref="O137">_xlfn.IFS(cleaned_data!S137&gt;=4,1,cleaned_data!S137=3,0.75,cleaned_data!S137=2,0.5,cleaned_data!S137=1,0.25,TRUE,0)</f>
        <v>0.25</v>
      </c>
      <c r="P137" cm="1">
        <f t="array" ref="P137">_xlfn.IFS(cleaned_data!AB137&gt;=50,1,cleaned_data!AB137&gt;=35,0.75,cleaned_data!AB137&gt;=20,0.5,TRUE,0.25)</f>
        <v>0.5</v>
      </c>
      <c r="Q137" cm="1">
        <f t="array" ref="Q137">_xlfn.IFS(cleaned_data!X137&gt;=5,1,cleaned_data!X137&gt;=3,0.75,cleaned_data!X137=2,0.5,cleaned_data!X137=1,0.25,TRUE,0)</f>
        <v>0.75</v>
      </c>
      <c r="R137">
        <f>IF(cleaned_data!Y137="Yes",1,0)</f>
        <v>0</v>
      </c>
      <c r="S137">
        <f>IF(OR(cleaned_data!AF137="GlobalG.A.P.",cleaned_data!AF137="Fairtrade",cleaned_data!AF137="Organic (CERES)"),1,
IF(OR(cleaned_data!AF137="SIZA",cleaned_data!AF137="Woolworths TNC",cleaned_data!AF137="Checkers Good Farming"),0.75,
IF(cleaned_data!AF137="No Certificate",0,
IF(cleaned_data!AF137="Unknown","",""))))</f>
        <v>0</v>
      </c>
      <c r="T137">
        <f>IF(cleaned_data!AG137="Yes",1,0)</f>
        <v>1</v>
      </c>
      <c r="U137">
        <f>IF(OR(cleaned_data!AD137="No Loan",cleaned_data!AD137="Settled",cleaned_data!AD137="Current"),1,
IF(cleaned_data!AD137="In Arrears",0.5,
IF(cleaned_data!AD137="Defaulted",0,
IF(cleaned_data!AD137="Unknown","",""))))</f>
        <v>1</v>
      </c>
      <c r="V137" cm="1">
        <f t="array" ref="V137">_xlfn.IFS(cleaned_data!AE137&lt;=0.2,1,
cleaned_data!AE137&lt;=0.5,0.75,
cleaned_data!AE137&lt;=1,0.5,
cleaned_data!AE137&gt;1,0.25)</f>
        <v>1</v>
      </c>
      <c r="W137">
        <f>IF(cleaned_data!AJ137="Yes",1,0)</f>
        <v>1</v>
      </c>
      <c r="X137" s="2" cm="1">
        <f t="array" ref="X137">_xlfn.IFS(cleaned_data!AM137="Yes", 1,
cleaned_data!AM137="No", 0,
cleaned_data!AM137="Unknown", "")</f>
        <v>0</v>
      </c>
      <c r="Y137" cm="1">
        <f t="array" ref="Y137">_xlfn.IFS(cleaned_data!AK137="Solar", 1,
cleaned_data!AK137="Generator", 0.75,
cleaned_data!AK137="Eskom grid", 0.5,
TRUE, "")</f>
        <v>1</v>
      </c>
      <c r="Z137" cm="1">
        <f t="array" ref="Z137">_xlfn.IFS(cleaned_data!AL137="", "",
cleaned_data!AL137&lt;=8, 1,
cleaned_data!AL137&lt;=14, 0.75,
cleaned_data!AL137&lt;=21, 0.5,
cleaned_data!AL137&gt;=22, 0.25)</f>
        <v>1</v>
      </c>
      <c r="AA137" cm="1">
        <f t="array" ref="AA137">_xlfn.IFS(cleaned_data!AH137=0, 1,
cleaned_data!AH137=1, 0.75,
cleaned_data!AH137=2, 0.5,
cleaned_data!AH137&gt;=3, 0.25)</f>
        <v>0.25</v>
      </c>
      <c r="AB137" cm="1">
        <f t="array" ref="AB137">_xlfn.IFS(cleaned_data!AO137="", "",
cleaned_data!AO137&gt;=50, 1,
cleaned_data!AO137&gt;=30, 0.75,
cleaned_data!AO137&gt;=10, 0.5,
cleaned_data!AO137&lt;10, 0.25)</f>
        <v>1</v>
      </c>
      <c r="AC137" cm="1">
        <f t="array" ref="AC137">_xlfn.IFS(cleaned_data!AP137&gt;=50,1, cleaned_data!AP137&gt;=30,0.75, cleaned_data!AP137&gt;=10,0.5, cleaned_data!AP137&lt;10,0.25)</f>
        <v>1</v>
      </c>
      <c r="AD137" cm="1">
        <f t="array" ref="AD137">_xlfn.IFS(cleaned_data!AQ137&gt;=30,1,
cleaned_data!AQ137&gt;=20,0.75,
cleaned_data!AQ137&gt;=10,0.5,
cleaned_data!AQ137&lt;10,0.25)</f>
        <v>0.5</v>
      </c>
      <c r="AE137" cm="1">
        <f t="array" ref="AE137">_xlfn.IFS(cleaned_data!AR137&gt;=75,1,
cleaned_data!AR137&gt;=50,0.75,
cleaned_data!AR137&gt;=25,0.5,
cleaned_data!AR137&lt;25,0.25)</f>
        <v>1</v>
      </c>
      <c r="AF137">
        <f>IF(cleaned_data!AS137="Yes",1,0)</f>
        <v>1</v>
      </c>
    </row>
    <row r="138" spans="1:32" x14ac:dyDescent="0.35">
      <c r="A138" t="s">
        <v>78</v>
      </c>
      <c r="B138" t="s">
        <v>77</v>
      </c>
      <c r="C138">
        <f>IF(cleaned_data!K138="Registered",1,0)</f>
        <v>1</v>
      </c>
      <c r="D138">
        <f>IF(cleaned_data!L138="Yes",1,0)</f>
        <v>0</v>
      </c>
      <c r="E138">
        <f>IF(cleaned_data!M138="Yes",1,0)</f>
        <v>1</v>
      </c>
      <c r="F138">
        <f>IF(cleaned_data!O138="Unknown","",IF(cleaned_data!O138="Yes",1,0))</f>
        <v>1</v>
      </c>
      <c r="G138" cm="1">
        <f t="array" ref="G138">_xlfn.IFS(cleaned_data!N138="Owned",1,cleaned_data!N138="Leased",0.75,cleaned_data!N138="State land",0.5,cleaned_data!N138="Communal",0.25)</f>
        <v>1</v>
      </c>
      <c r="H138" s="2" cm="1">
        <f t="array" ref="H138">_xlfn.IFS(cleaned_data!G138&gt;=10,1,cleaned_data!G138&gt;=5,0.75,cleaned_data!G138&gt;=2,0.5,TRUE,0.25)</f>
        <v>1</v>
      </c>
      <c r="I138">
        <f>IF(cleaned_data!P138="None",0,1)</f>
        <v>1</v>
      </c>
      <c r="J138" s="2" cm="1">
        <f t="array" ref="J138">_xlfn.IFS(cleaned_data!H138&gt;=20,1,cleaned_data!H138&gt;=10,0.75,cleaned_data!H138&gt;=5,0.5,cleaned_data!H138&gt;=1,0.25,TRUE,0)</f>
        <v>0.25</v>
      </c>
      <c r="K138" cm="1">
        <f t="array" ref="K138">_xlfn.IFS(cleaned_data!Q138&gt;=100000,1,cleaned_data!Q138&gt;=50000,0.75,cleaned_data!Q138&gt;=10000,0.5,TRUE,0.25)</f>
        <v>0.5</v>
      </c>
      <c r="L138" cm="1">
        <f t="array" ref="L138">_xlfn.IFS(cleaned_data!T138="","",cleaned_data!T138&lt;=10,1,cleaned_data!T138&lt;=25,0.75,cleaned_data!T138&lt;=40,0.5, cleaned_data!T138&gt;40,0.25)</f>
        <v>0.25</v>
      </c>
      <c r="M138">
        <f>IF(cleaned_data!U138="Yes",1,0)</f>
        <v>0</v>
      </c>
      <c r="N138" cm="1">
        <f t="array" ref="N138">_xlfn.IFS(cleaned_data!V138="Unknown","",cleaned_data!V138="Yes",1,TRUE,0)</f>
        <v>0</v>
      </c>
      <c r="O138" cm="1">
        <f t="array" ref="O138">_xlfn.IFS(cleaned_data!S138&gt;=4,1,cleaned_data!S138=3,0.75,cleaned_data!S138=2,0.5,cleaned_data!S138=1,0.25,TRUE,0)</f>
        <v>0.5</v>
      </c>
      <c r="P138" cm="1">
        <f t="array" ref="P138">_xlfn.IFS(cleaned_data!AB138&gt;=50,1,cleaned_data!AB138&gt;=35,0.75,cleaned_data!AB138&gt;=20,0.5,TRUE,0.25)</f>
        <v>0.75</v>
      </c>
      <c r="Q138" cm="1">
        <f t="array" ref="Q138">_xlfn.IFS(cleaned_data!X138&gt;=5,1,cleaned_data!X138&gt;=3,0.75,cleaned_data!X138=2,0.5,cleaned_data!X138=1,0.25,TRUE,0)</f>
        <v>0.5</v>
      </c>
      <c r="R138">
        <f>IF(cleaned_data!Y138="Yes",1,0)</f>
        <v>0</v>
      </c>
      <c r="S138">
        <f>IF(OR(cleaned_data!AF138="GlobalG.A.P.",cleaned_data!AF138="Fairtrade",cleaned_data!AF138="Organic (CERES)"),1,
IF(OR(cleaned_data!AF138="SIZA",cleaned_data!AF138="Woolworths TNC",cleaned_data!AF138="Checkers Good Farming"),0.75,
IF(cleaned_data!AF138="No Certificate",0,
IF(cleaned_data!AF138="Unknown","",""))))</f>
        <v>0</v>
      </c>
      <c r="T138">
        <f>IF(cleaned_data!AG138="Yes",1,0)</f>
        <v>0</v>
      </c>
      <c r="U138">
        <f>IF(OR(cleaned_data!AD138="No Loan",cleaned_data!AD138="Settled",cleaned_data!AD138="Current"),1,
IF(cleaned_data!AD138="In Arrears",0.5,
IF(cleaned_data!AD138="Defaulted",0,
IF(cleaned_data!AD138="Unknown","",""))))</f>
        <v>1</v>
      </c>
      <c r="V138" cm="1">
        <f t="array" ref="V138">_xlfn.IFS(cleaned_data!AE138&lt;=0.2,1,
cleaned_data!AE138&lt;=0.5,0.75,
cleaned_data!AE138&lt;=1,0.5,
cleaned_data!AE138&gt;1,0.25)</f>
        <v>1</v>
      </c>
      <c r="W138">
        <f>IF(cleaned_data!AJ138="Yes",1,0)</f>
        <v>1</v>
      </c>
      <c r="X138" s="2" cm="1">
        <f t="array" ref="X138">_xlfn.IFS(cleaned_data!AM138="Yes", 1,
cleaned_data!AM138="No", 0,
cleaned_data!AM138="Unknown", "")</f>
        <v>0</v>
      </c>
      <c r="Y138" cm="1">
        <f t="array" ref="Y138">_xlfn.IFS(cleaned_data!AK138="Solar", 1,
cleaned_data!AK138="Generator", 0.75,
cleaned_data!AK138="Eskom grid", 0.5,
TRUE, "")</f>
        <v>0.5</v>
      </c>
      <c r="Z138" cm="1">
        <f t="array" ref="Z138">_xlfn.IFS(cleaned_data!AL138="", "",
cleaned_data!AL138&lt;=8, 1,
cleaned_data!AL138&lt;=14, 0.75,
cleaned_data!AL138&lt;=21, 0.5,
cleaned_data!AL138&gt;=22, 0.25)</f>
        <v>0.5</v>
      </c>
      <c r="AA138" cm="1">
        <f t="array" ref="AA138">_xlfn.IFS(cleaned_data!AH138=0, 1,
cleaned_data!AH138=1, 0.75,
cleaned_data!AH138=2, 0.5,
cleaned_data!AH138&gt;=3, 0.25)</f>
        <v>0.25</v>
      </c>
      <c r="AB138" cm="1">
        <f t="array" ref="AB138">_xlfn.IFS(cleaned_data!AO138="", "",
cleaned_data!AO138&gt;=50, 1,
cleaned_data!AO138&gt;=30, 0.75,
cleaned_data!AO138&gt;=10, 0.5,
cleaned_data!AO138&lt;10, 0.25)</f>
        <v>1</v>
      </c>
      <c r="AC138" cm="1">
        <f t="array" ref="AC138">_xlfn.IFS(cleaned_data!AP138&gt;=50,1, cleaned_data!AP138&gt;=30,0.75, cleaned_data!AP138&gt;=10,0.5, cleaned_data!AP138&lt;10,0.25)</f>
        <v>1</v>
      </c>
      <c r="AD138" cm="1">
        <f t="array" ref="AD138">_xlfn.IFS(cleaned_data!AQ138&gt;=30,1,
cleaned_data!AQ138&gt;=20,0.75,
cleaned_data!AQ138&gt;=10,0.5,
cleaned_data!AQ138&lt;10,0.25)</f>
        <v>0.25</v>
      </c>
      <c r="AE138" cm="1">
        <f t="array" ref="AE138">_xlfn.IFS(cleaned_data!AR138&gt;=75,1,
cleaned_data!AR138&gt;=50,0.75,
cleaned_data!AR138&gt;=25,0.5,
cleaned_data!AR138&lt;25,0.25)</f>
        <v>0.75</v>
      </c>
      <c r="AF138">
        <f>IF(cleaned_data!AS138="Yes",1,0)</f>
        <v>0</v>
      </c>
    </row>
    <row r="139" spans="1:32" x14ac:dyDescent="0.35">
      <c r="A139" t="s">
        <v>76</v>
      </c>
      <c r="B139" t="s">
        <v>75</v>
      </c>
      <c r="C139">
        <f>IF(cleaned_data!K139="Registered",1,0)</f>
        <v>0</v>
      </c>
      <c r="D139">
        <f>IF(cleaned_data!L139="Yes",1,0)</f>
        <v>0</v>
      </c>
      <c r="E139">
        <f>IF(cleaned_data!M139="Yes",1,0)</f>
        <v>0</v>
      </c>
      <c r="F139">
        <f>IF(cleaned_data!O139="Unknown","",IF(cleaned_data!O139="Yes",1,0))</f>
        <v>1</v>
      </c>
      <c r="G139" cm="1">
        <f t="array" ref="G139">_xlfn.IFS(cleaned_data!N139="Owned",1,cleaned_data!N139="Leased",0.75,cleaned_data!N139="State land",0.5,cleaned_data!N139="Communal",0.25)</f>
        <v>1</v>
      </c>
      <c r="H139" s="2" cm="1">
        <f t="array" ref="H139">_xlfn.IFS(cleaned_data!G139&gt;=10,1,cleaned_data!G139&gt;=5,0.75,cleaned_data!G139&gt;=2,0.5,TRUE,0.25)</f>
        <v>1</v>
      </c>
      <c r="I139">
        <f>IF(cleaned_data!P139="None",0,1)</f>
        <v>1</v>
      </c>
      <c r="J139" s="2" cm="1">
        <f t="array" ref="J139">_xlfn.IFS(cleaned_data!H139&gt;=20,1,cleaned_data!H139&gt;=10,0.75,cleaned_data!H139&gt;=5,0.5,cleaned_data!H139&gt;=1,0.25,TRUE,0)</f>
        <v>0.5</v>
      </c>
      <c r="K139" cm="1">
        <f t="array" ref="K139">_xlfn.IFS(cleaned_data!Q139&gt;=100000,1,cleaned_data!Q139&gt;=50000,0.75,cleaned_data!Q139&gt;=10000,0.5,TRUE,0.25)</f>
        <v>0.25</v>
      </c>
      <c r="L139" cm="1">
        <f t="array" ref="L139">_xlfn.IFS(cleaned_data!T139="","",cleaned_data!T139&lt;=10,1,cleaned_data!T139&lt;=25,0.75,cleaned_data!T139&lt;=40,0.5, cleaned_data!T139&gt;40,0.25)</f>
        <v>0.25</v>
      </c>
      <c r="M139">
        <f>IF(cleaned_data!U139="Yes",1,0)</f>
        <v>1</v>
      </c>
      <c r="N139" cm="1">
        <f t="array" ref="N139">_xlfn.IFS(cleaned_data!V139="Unknown","",cleaned_data!V139="Yes",1,TRUE,0)</f>
        <v>0</v>
      </c>
      <c r="O139" cm="1">
        <f t="array" ref="O139">_xlfn.IFS(cleaned_data!S139&gt;=4,1,cleaned_data!S139=3,0.75,cleaned_data!S139=2,0.5,cleaned_data!S139=1,0.25,TRUE,0)</f>
        <v>1</v>
      </c>
      <c r="P139" cm="1">
        <f t="array" ref="P139">_xlfn.IFS(cleaned_data!AB139&gt;=50,1,cleaned_data!AB139&gt;=35,0.75,cleaned_data!AB139&gt;=20,0.5,TRUE,0.25)</f>
        <v>0.5</v>
      </c>
      <c r="Q139" cm="1">
        <f t="array" ref="Q139">_xlfn.IFS(cleaned_data!X139&gt;=5,1,cleaned_data!X139&gt;=3,0.75,cleaned_data!X139=2,0.5,cleaned_data!X139=1,0.25,TRUE,0)</f>
        <v>0.25</v>
      </c>
      <c r="R139">
        <f>IF(cleaned_data!Y139="Yes",1,0)</f>
        <v>0</v>
      </c>
      <c r="S139">
        <f>IF(OR(cleaned_data!AF139="GlobalG.A.P.",cleaned_data!AF139="Fairtrade",cleaned_data!AF139="Organic (CERES)"),1,
IF(OR(cleaned_data!AF139="SIZA",cleaned_data!AF139="Woolworths TNC",cleaned_data!AF139="Checkers Good Farming"),0.75,
IF(cleaned_data!AF139="No Certificate",0,
IF(cleaned_data!AF139="Unknown","",""))))</f>
        <v>0</v>
      </c>
      <c r="T139">
        <f>IF(cleaned_data!AG139="Yes",1,0)</f>
        <v>0</v>
      </c>
      <c r="U139">
        <f>IF(OR(cleaned_data!AD139="No Loan",cleaned_data!AD139="Settled",cleaned_data!AD139="Current"),1,
IF(cleaned_data!AD139="In Arrears",0.5,
IF(cleaned_data!AD139="Defaulted",0,
IF(cleaned_data!AD139="Unknown","",""))))</f>
        <v>0.5</v>
      </c>
      <c r="V139" cm="1">
        <f t="array" ref="V139">_xlfn.IFS(cleaned_data!AE139&lt;=0.2,1,
cleaned_data!AE139&lt;=0.5,0.75,
cleaned_data!AE139&lt;=1,0.5,
cleaned_data!AE139&gt;1,0.25)</f>
        <v>0.25</v>
      </c>
      <c r="W139">
        <f>IF(cleaned_data!AJ139="Yes",1,0)</f>
        <v>0</v>
      </c>
      <c r="X139" s="2" cm="1">
        <f t="array" ref="X139">_xlfn.IFS(cleaned_data!AM139="Yes", 1,
cleaned_data!AM139="No", 0,
cleaned_data!AM139="Unknown", "")</f>
        <v>0</v>
      </c>
      <c r="Y139" cm="1">
        <f t="array" ref="Y139">_xlfn.IFS(cleaned_data!AK139="Solar", 1,
cleaned_data!AK139="Generator", 0.75,
cleaned_data!AK139="Eskom grid", 0.5,
TRUE, "")</f>
        <v>0.75</v>
      </c>
      <c r="Z139" cm="1">
        <f t="array" ref="Z139">_xlfn.IFS(cleaned_data!AL139="", "",
cleaned_data!AL139&lt;=8, 1,
cleaned_data!AL139&lt;=14, 0.75,
cleaned_data!AL139&lt;=21, 0.5,
cleaned_data!AL139&gt;=22, 0.25)</f>
        <v>1</v>
      </c>
      <c r="AA139" cm="1">
        <f t="array" ref="AA139">_xlfn.IFS(cleaned_data!AH139=0, 1,
cleaned_data!AH139=1, 0.75,
cleaned_data!AH139=2, 0.5,
cleaned_data!AH139&gt;=3, 0.25)</f>
        <v>0.5</v>
      </c>
      <c r="AB139" cm="1">
        <f t="array" ref="AB139">_xlfn.IFS(cleaned_data!AO139="", "",
cleaned_data!AO139&gt;=50, 1,
cleaned_data!AO139&gt;=30, 0.75,
cleaned_data!AO139&gt;=10, 0.5,
cleaned_data!AO139&lt;10, 0.25)</f>
        <v>1</v>
      </c>
      <c r="AC139" cm="1">
        <f t="array" ref="AC139">_xlfn.IFS(cleaned_data!AP139&gt;=50,1, cleaned_data!AP139&gt;=30,0.75, cleaned_data!AP139&gt;=10,0.5, cleaned_data!AP139&lt;10,0.25)</f>
        <v>1</v>
      </c>
      <c r="AD139" cm="1">
        <f t="array" ref="AD139">_xlfn.IFS(cleaned_data!AQ139&gt;=30,1,
cleaned_data!AQ139&gt;=20,0.75,
cleaned_data!AQ139&gt;=10,0.5,
cleaned_data!AQ139&lt;10,0.25)</f>
        <v>1</v>
      </c>
      <c r="AE139" cm="1">
        <f t="array" ref="AE139">_xlfn.IFS(cleaned_data!AR139&gt;=75,1,
cleaned_data!AR139&gt;=50,0.75,
cleaned_data!AR139&gt;=25,0.5,
cleaned_data!AR139&lt;25,0.25)</f>
        <v>0.75</v>
      </c>
      <c r="AF139">
        <f>IF(cleaned_data!AS139="Yes",1,0)</f>
        <v>1</v>
      </c>
    </row>
    <row r="140" spans="1:32" x14ac:dyDescent="0.35">
      <c r="A140" t="s">
        <v>74</v>
      </c>
      <c r="B140" t="s">
        <v>73</v>
      </c>
      <c r="C140">
        <f>IF(cleaned_data!K140="Registered",1,0)</f>
        <v>1</v>
      </c>
      <c r="D140">
        <f>IF(cleaned_data!L140="Yes",1,0)</f>
        <v>0</v>
      </c>
      <c r="E140">
        <f>IF(cleaned_data!M140="Yes",1,0)</f>
        <v>1</v>
      </c>
      <c r="F140">
        <f>IF(cleaned_data!O140="Unknown","",IF(cleaned_data!O140="Yes",1,0))</f>
        <v>1</v>
      </c>
      <c r="G140" cm="1">
        <f t="array" ref="G140">_xlfn.IFS(cleaned_data!N140="Owned",1,cleaned_data!N140="Leased",0.75,cleaned_data!N140="State land",0.5,cleaned_data!N140="Communal",0.25)</f>
        <v>0.75</v>
      </c>
      <c r="H140" s="2" cm="1">
        <f t="array" ref="H140">_xlfn.IFS(cleaned_data!G140&gt;=10,1,cleaned_data!G140&gt;=5,0.75,cleaned_data!G140&gt;=2,0.5,TRUE,0.25)</f>
        <v>0.5</v>
      </c>
      <c r="I140">
        <f>IF(cleaned_data!P140="None",0,1)</f>
        <v>1</v>
      </c>
      <c r="J140" s="2" cm="1">
        <f t="array" ref="J140">_xlfn.IFS(cleaned_data!H140&gt;=20,1,cleaned_data!H140&gt;=10,0.75,cleaned_data!H140&gt;=5,0.5,cleaned_data!H140&gt;=1,0.25,TRUE,0)</f>
        <v>0.25</v>
      </c>
      <c r="K140" cm="1">
        <f t="array" ref="K140">_xlfn.IFS(cleaned_data!Q140&gt;=100000,1,cleaned_data!Q140&gt;=50000,0.75,cleaned_data!Q140&gt;=10000,0.5,TRUE,0.25)</f>
        <v>0.5</v>
      </c>
      <c r="L140" cm="1">
        <f t="array" ref="L140">_xlfn.IFS(cleaned_data!T140="","",cleaned_data!T140&lt;=10,1,cleaned_data!T140&lt;=25,0.75,cleaned_data!T140&lt;=40,0.5, cleaned_data!T140&gt;40,0.25)</f>
        <v>0.25</v>
      </c>
      <c r="M140">
        <f>IF(cleaned_data!U140="Yes",1,0)</f>
        <v>1</v>
      </c>
      <c r="N140" cm="1">
        <f t="array" ref="N140">_xlfn.IFS(cleaned_data!V140="Unknown","",cleaned_data!V140="Yes",1,TRUE,0)</f>
        <v>0</v>
      </c>
      <c r="O140" cm="1">
        <f t="array" ref="O140">_xlfn.IFS(cleaned_data!S140&gt;=4,1,cleaned_data!S140=3,0.75,cleaned_data!S140=2,0.5,cleaned_data!S140=1,0.25,TRUE,0)</f>
        <v>0.25</v>
      </c>
      <c r="P140" cm="1">
        <f t="array" ref="P140">_xlfn.IFS(cleaned_data!AB140&gt;=50,1,cleaned_data!AB140&gt;=35,0.75,cleaned_data!AB140&gt;=20,0.5,TRUE,0.25)</f>
        <v>0.75</v>
      </c>
      <c r="Q140" cm="1">
        <f t="array" ref="Q140">_xlfn.IFS(cleaned_data!X140&gt;=5,1,cleaned_data!X140&gt;=3,0.75,cleaned_data!X140=2,0.5,cleaned_data!X140=1,0.25,TRUE,0)</f>
        <v>0.5</v>
      </c>
      <c r="R140">
        <f>IF(cleaned_data!Y140="Yes",1,0)</f>
        <v>0</v>
      </c>
      <c r="S140">
        <f>IF(OR(cleaned_data!AF140="GlobalG.A.P.",cleaned_data!AF140="Fairtrade",cleaned_data!AF140="Organic (CERES)"),1,
IF(OR(cleaned_data!AF140="SIZA",cleaned_data!AF140="Woolworths TNC",cleaned_data!AF140="Checkers Good Farming"),0.75,
IF(cleaned_data!AF140="No Certificate",0,
IF(cleaned_data!AF140="Unknown","",""))))</f>
        <v>0</v>
      </c>
      <c r="T140">
        <f>IF(cleaned_data!AG140="Yes",1,0)</f>
        <v>0</v>
      </c>
      <c r="U140">
        <f>IF(OR(cleaned_data!AD140="No Loan",cleaned_data!AD140="Settled",cleaned_data!AD140="Current"),1,
IF(cleaned_data!AD140="In Arrears",0.5,
IF(cleaned_data!AD140="Defaulted",0,
IF(cleaned_data!AD140="Unknown","",""))))</f>
        <v>1</v>
      </c>
      <c r="V140" cm="1">
        <f t="array" ref="V140">_xlfn.IFS(cleaned_data!AE140&lt;=0.2,1,
cleaned_data!AE140&lt;=0.5,0.75,
cleaned_data!AE140&lt;=1,0.5,
cleaned_data!AE140&gt;1,0.25)</f>
        <v>1</v>
      </c>
      <c r="W140">
        <f>IF(cleaned_data!AJ140="Yes",1,0)</f>
        <v>0</v>
      </c>
      <c r="X140" s="2" cm="1">
        <f t="array" ref="X140">_xlfn.IFS(cleaned_data!AM140="Yes", 1,
cleaned_data!AM140="No", 0,
cleaned_data!AM140="Unknown", "")</f>
        <v>0</v>
      </c>
      <c r="Y140" cm="1">
        <f t="array" ref="Y140">_xlfn.IFS(cleaned_data!AK140="Solar", 1,
cleaned_data!AK140="Generator", 0.75,
cleaned_data!AK140="Eskom grid", 0.5,
TRUE, "")</f>
        <v>0.75</v>
      </c>
      <c r="Z140" cm="1">
        <f t="array" ref="Z140">_xlfn.IFS(cleaned_data!AL140="", "",
cleaned_data!AL140&lt;=8, 1,
cleaned_data!AL140&lt;=14, 0.75,
cleaned_data!AL140&lt;=21, 0.5,
cleaned_data!AL140&gt;=22, 0.25)</f>
        <v>1</v>
      </c>
      <c r="AA140" cm="1">
        <f t="array" ref="AA140">_xlfn.IFS(cleaned_data!AH140=0, 1,
cleaned_data!AH140=1, 0.75,
cleaned_data!AH140=2, 0.5,
cleaned_data!AH140&gt;=3, 0.25)</f>
        <v>0.5</v>
      </c>
      <c r="AB140" cm="1">
        <f t="array" ref="AB140">_xlfn.IFS(cleaned_data!AO140="", "",
cleaned_data!AO140&gt;=50, 1,
cleaned_data!AO140&gt;=30, 0.75,
cleaned_data!AO140&gt;=10, 0.5,
cleaned_data!AO140&lt;10, 0.25)</f>
        <v>1</v>
      </c>
      <c r="AC140" cm="1">
        <f t="array" ref="AC140">_xlfn.IFS(cleaned_data!AP140&gt;=50,1, cleaned_data!AP140&gt;=30,0.75, cleaned_data!AP140&gt;=10,0.5, cleaned_data!AP140&lt;10,0.25)</f>
        <v>1</v>
      </c>
      <c r="AD140" cm="1">
        <f t="array" ref="AD140">_xlfn.IFS(cleaned_data!AQ140&gt;=30,1,
cleaned_data!AQ140&gt;=20,0.75,
cleaned_data!AQ140&gt;=10,0.5,
cleaned_data!AQ140&lt;10,0.25)</f>
        <v>1</v>
      </c>
      <c r="AE140" cm="1">
        <f t="array" ref="AE140">_xlfn.IFS(cleaned_data!AR140&gt;=75,1,
cleaned_data!AR140&gt;=50,0.75,
cleaned_data!AR140&gt;=25,0.5,
cleaned_data!AR140&lt;25,0.25)</f>
        <v>1</v>
      </c>
      <c r="AF140">
        <f>IF(cleaned_data!AS140="Yes",1,0)</f>
        <v>1</v>
      </c>
    </row>
    <row r="141" spans="1:32" x14ac:dyDescent="0.35">
      <c r="A141" t="s">
        <v>71</v>
      </c>
      <c r="B141" t="s">
        <v>70</v>
      </c>
      <c r="C141">
        <f>IF(cleaned_data!K141="Registered",1,0)</f>
        <v>0</v>
      </c>
      <c r="D141">
        <f>IF(cleaned_data!L141="Yes",1,0)</f>
        <v>1</v>
      </c>
      <c r="E141">
        <f>IF(cleaned_data!M141="Yes",1,0)</f>
        <v>0</v>
      </c>
      <c r="F141">
        <f>IF(cleaned_data!O141="Unknown","",IF(cleaned_data!O141="Yes",1,0))</f>
        <v>1</v>
      </c>
      <c r="G141" cm="1">
        <f t="array" ref="G141">_xlfn.IFS(cleaned_data!N141="Owned",1,cleaned_data!N141="Leased",0.75,cleaned_data!N141="State land",0.5,cleaned_data!N141="Communal",0.25)</f>
        <v>1</v>
      </c>
      <c r="H141" s="2" cm="1">
        <f t="array" ref="H141">_xlfn.IFS(cleaned_data!G141&gt;=10,1,cleaned_data!G141&gt;=5,0.75,cleaned_data!G141&gt;=2,0.5,TRUE,0.25)</f>
        <v>1</v>
      </c>
      <c r="I141">
        <f>IF(cleaned_data!P141="None",0,1)</f>
        <v>1</v>
      </c>
      <c r="J141" s="2" cm="1">
        <f t="array" ref="J141">_xlfn.IFS(cleaned_data!H141&gt;=20,1,cleaned_data!H141&gt;=10,0.75,cleaned_data!H141&gt;=5,0.5,cleaned_data!H141&gt;=1,0.25,TRUE,0)</f>
        <v>0.75</v>
      </c>
      <c r="K141" cm="1">
        <f t="array" ref="K141">_xlfn.IFS(cleaned_data!Q141&gt;=100000,1,cleaned_data!Q141&gt;=50000,0.75,cleaned_data!Q141&gt;=10000,0.5,TRUE,0.25)</f>
        <v>0.25</v>
      </c>
      <c r="L141" cm="1">
        <f t="array" ref="L141">_xlfn.IFS(cleaned_data!T141="","",cleaned_data!T141&lt;=10,1,cleaned_data!T141&lt;=25,0.75,cleaned_data!T141&lt;=40,0.5, cleaned_data!T141&gt;40,0.25)</f>
        <v>0.5</v>
      </c>
      <c r="M141">
        <f>IF(cleaned_data!U141="Yes",1,0)</f>
        <v>0</v>
      </c>
      <c r="N141" cm="1">
        <f t="array" ref="N141">_xlfn.IFS(cleaned_data!V141="Unknown","",cleaned_data!V141="Yes",1,TRUE,0)</f>
        <v>0</v>
      </c>
      <c r="O141" cm="1">
        <f t="array" ref="O141">_xlfn.IFS(cleaned_data!S141&gt;=4,1,cleaned_data!S141=3,0.75,cleaned_data!S141=2,0.5,cleaned_data!S141=1,0.25,TRUE,0)</f>
        <v>0.25</v>
      </c>
      <c r="P141" cm="1">
        <f t="array" ref="P141">_xlfn.IFS(cleaned_data!AB141&gt;=50,1,cleaned_data!AB141&gt;=35,0.75,cleaned_data!AB141&gt;=20,0.5,TRUE,0.25)</f>
        <v>0.75</v>
      </c>
      <c r="Q141" cm="1">
        <f t="array" ref="Q141">_xlfn.IFS(cleaned_data!X141&gt;=5,1,cleaned_data!X141&gt;=3,0.75,cleaned_data!X141=2,0.5,cleaned_data!X141=1,0.25,TRUE,0)</f>
        <v>0.75</v>
      </c>
      <c r="R141">
        <f>IF(cleaned_data!Y141="Yes",1,0)</f>
        <v>0</v>
      </c>
      <c r="S141">
        <f>IF(OR(cleaned_data!AF141="GlobalG.A.P.",cleaned_data!AF141="Fairtrade",cleaned_data!AF141="Organic (CERES)"),1,
IF(OR(cleaned_data!AF141="SIZA",cleaned_data!AF141="Woolworths TNC",cleaned_data!AF141="Checkers Good Farming"),0.75,
IF(cleaned_data!AF141="No Certificate",0,
IF(cleaned_data!AF141="Unknown","",""))))</f>
        <v>0</v>
      </c>
      <c r="T141">
        <f>IF(cleaned_data!AG141="Yes",1,0)</f>
        <v>1</v>
      </c>
      <c r="U141">
        <f>IF(OR(cleaned_data!AD141="No Loan",cleaned_data!AD141="Settled",cleaned_data!AD141="Current"),1,
IF(cleaned_data!AD141="In Arrears",0.5,
IF(cleaned_data!AD141="Defaulted",0,
IF(cleaned_data!AD141="Unknown","",""))))</f>
        <v>1</v>
      </c>
      <c r="V141" cm="1">
        <f t="array" ref="V141">_xlfn.IFS(cleaned_data!AE141&lt;=0.2,1,
cleaned_data!AE141&lt;=0.5,0.75,
cleaned_data!AE141&lt;=1,0.5,
cleaned_data!AE141&gt;1,0.25)</f>
        <v>0.25</v>
      </c>
      <c r="W141">
        <f>IF(cleaned_data!AJ141="Yes",1,0)</f>
        <v>1</v>
      </c>
      <c r="X141" s="2" cm="1">
        <f t="array" ref="X141">_xlfn.IFS(cleaned_data!AM141="Yes", 1,
cleaned_data!AM141="No", 0,
cleaned_data!AM141="Unknown", "")</f>
        <v>0</v>
      </c>
      <c r="Y141" cm="1">
        <f t="array" ref="Y141">_xlfn.IFS(cleaned_data!AK141="Solar", 1,
cleaned_data!AK141="Generator", 0.75,
cleaned_data!AK141="Eskom grid", 0.5,
TRUE, "")</f>
        <v>0.5</v>
      </c>
      <c r="Z141" cm="1">
        <f t="array" ref="Z141">_xlfn.IFS(cleaned_data!AL141="", "",
cleaned_data!AL141&lt;=8, 1,
cleaned_data!AL141&lt;=14, 0.75,
cleaned_data!AL141&lt;=21, 0.5,
cleaned_data!AL141&gt;=22, 0.25)</f>
        <v>0.25</v>
      </c>
      <c r="AA141" cm="1">
        <f t="array" ref="AA141">_xlfn.IFS(cleaned_data!AH141=0, 1,
cleaned_data!AH141=1, 0.75,
cleaned_data!AH141=2, 0.5,
cleaned_data!AH141&gt;=3, 0.25)</f>
        <v>0.25</v>
      </c>
      <c r="AB141" cm="1">
        <f t="array" ref="AB141">_xlfn.IFS(cleaned_data!AO141="", "",
cleaned_data!AO141&gt;=50, 1,
cleaned_data!AO141&gt;=30, 0.75,
cleaned_data!AO141&gt;=10, 0.5,
cleaned_data!AO141&lt;10, 0.25)</f>
        <v>1</v>
      </c>
      <c r="AC141" cm="1">
        <f t="array" ref="AC141">_xlfn.IFS(cleaned_data!AP141&gt;=50,1, cleaned_data!AP141&gt;=30,0.75, cleaned_data!AP141&gt;=10,0.5, cleaned_data!AP141&lt;10,0.25)</f>
        <v>1</v>
      </c>
      <c r="AD141" cm="1">
        <f t="array" ref="AD141">_xlfn.IFS(cleaned_data!AQ141&gt;=30,1,
cleaned_data!AQ141&gt;=20,0.75,
cleaned_data!AQ141&gt;=10,0.5,
cleaned_data!AQ141&lt;10,0.25)</f>
        <v>1</v>
      </c>
      <c r="AE141" cm="1">
        <f t="array" ref="AE141">_xlfn.IFS(cleaned_data!AR141&gt;=75,1,
cleaned_data!AR141&gt;=50,0.75,
cleaned_data!AR141&gt;=25,0.5,
cleaned_data!AR141&lt;25,0.25)</f>
        <v>0.75</v>
      </c>
      <c r="AF141">
        <f>IF(cleaned_data!AS141="Yes",1,0)</f>
        <v>0</v>
      </c>
    </row>
    <row r="142" spans="1:32" hidden="1" x14ac:dyDescent="0.35">
      <c r="A142" t="s">
        <v>69</v>
      </c>
      <c r="B142" t="s">
        <v>68</v>
      </c>
      <c r="C142">
        <f>IF(cleaned_data!K142="Registered",1,0)</f>
        <v>1</v>
      </c>
      <c r="D142">
        <f>IF(cleaned_data!L142="Yes",1,0)</f>
        <v>0</v>
      </c>
      <c r="E142">
        <f>IF(cleaned_data!M142="Yes",1,0)</f>
        <v>0</v>
      </c>
      <c r="F142">
        <f>IF(cleaned_data!O142="Unknown","",IF(cleaned_data!O142="Yes",1,0))</f>
        <v>0</v>
      </c>
      <c r="G142" cm="1">
        <f t="array" ref="G142">_xlfn.IFS(cleaned_data!N142="Owned",1,cleaned_data!N142="Leased",0.75,cleaned_data!N142="State land",0.5,cleaned_data!N142="Communal",0.25)</f>
        <v>1</v>
      </c>
      <c r="H142" s="2" cm="1">
        <f t="array" ref="H142">_xlfn.IFS(cleaned_data!G142&gt;=10,1,cleaned_data!G142&gt;=5,0.75,cleaned_data!G142&gt;=2,0.5,TRUE,0.25)</f>
        <v>1</v>
      </c>
      <c r="I142">
        <f>IF(cleaned_data!P142="None",0,1)</f>
        <v>0</v>
      </c>
      <c r="J142" s="2" cm="1">
        <f t="array" ref="J142">_xlfn.IFS(cleaned_data!H142&gt;=20,1,cleaned_data!H142&gt;=10,0.75,cleaned_data!H142&gt;=5,0.5,cleaned_data!H142&gt;=1,0.25,TRUE,0)</f>
        <v>0.5</v>
      </c>
      <c r="K142" cm="1">
        <f t="array" ref="K142">_xlfn.IFS(cleaned_data!Q142&gt;=100000,1,cleaned_data!Q142&gt;=50000,0.75,cleaned_data!Q142&gt;=10000,0.5,TRUE,0.25)</f>
        <v>0.5</v>
      </c>
      <c r="L142" cm="1">
        <f t="array" ref="L142">_xlfn.IFS(cleaned_data!T142="","",cleaned_data!T142&lt;=10,1,cleaned_data!T142&lt;=25,0.75,cleaned_data!T142&lt;=40,0.5, cleaned_data!T142&gt;40,0.25)</f>
        <v>0.25</v>
      </c>
      <c r="M142">
        <f>IF(cleaned_data!U142="Yes",1,0)</f>
        <v>0</v>
      </c>
      <c r="N142" cm="1">
        <f t="array" ref="N142">_xlfn.IFS(cleaned_data!V142="Unknown","",cleaned_data!V142="Yes",1,TRUE,0)</f>
        <v>0</v>
      </c>
      <c r="O142" cm="1">
        <f t="array" ref="O142">_xlfn.IFS(cleaned_data!S142&gt;=4,1,cleaned_data!S142=3,0.75,cleaned_data!S142=2,0.5,cleaned_data!S142=1,0.25,TRUE,0)</f>
        <v>0.25</v>
      </c>
      <c r="P142" cm="1">
        <f t="array" ref="P142">_xlfn.IFS(cleaned_data!AB142&gt;=50,1,cleaned_data!AB142&gt;=35,0.75,cleaned_data!AB142&gt;=20,0.5,TRUE,0.25)</f>
        <v>1</v>
      </c>
      <c r="Q142" cm="1">
        <f t="array" ref="Q142">_xlfn.IFS(cleaned_data!X142&gt;=5,1,cleaned_data!X142&gt;=3,0.75,cleaned_data!X142=2,0.5,cleaned_data!X142=1,0.25,TRUE,0)</f>
        <v>0.25</v>
      </c>
      <c r="R142">
        <f>IF(cleaned_data!Y142="Yes",1,0)</f>
        <v>0</v>
      </c>
      <c r="S142">
        <f>IF(OR(cleaned_data!AF142="GlobalG.A.P.",cleaned_data!AF142="Fairtrade",cleaned_data!AF142="Organic (CERES)"),1,
IF(OR(cleaned_data!AF142="SIZA",cleaned_data!AF142="Woolworths TNC",cleaned_data!AF142="Checkers Good Farming"),0.75,
IF(cleaned_data!AF142="No Certificate",0,
IF(cleaned_data!AF142="Unknown","",""))))</f>
        <v>0</v>
      </c>
      <c r="T142">
        <f>IF(cleaned_data!AG142="Yes",1,0)</f>
        <v>0</v>
      </c>
      <c r="U142">
        <f>IF(OR(cleaned_data!AD142="No Loan",cleaned_data!AD142="Settled",cleaned_data!AD142="Current"),1,
IF(cleaned_data!AD142="In Arrears",0.5,
IF(cleaned_data!AD142="Defaulted",0,
IF(cleaned_data!AD142="Unknown","",""))))</f>
        <v>1</v>
      </c>
      <c r="V142" cm="1">
        <f t="array" ref="V142">_xlfn.IFS(cleaned_data!AE142&lt;=0.2,1,
cleaned_data!AE142&lt;=0.5,0.75,
cleaned_data!AE142&lt;=1,0.5,
cleaned_data!AE142&gt;1,0.25)</f>
        <v>0.5</v>
      </c>
      <c r="W142">
        <f>IF(cleaned_data!AJ142="Yes",1,0)</f>
        <v>0</v>
      </c>
      <c r="X142" s="2" cm="1">
        <f t="array" ref="X142">_xlfn.IFS(cleaned_data!AM142="Yes", 1,
cleaned_data!AM142="No", 0,
cleaned_data!AM142="Unknown", "")</f>
        <v>0</v>
      </c>
      <c r="Y142" cm="1">
        <f t="array" ref="Y142">_xlfn.IFS(cleaned_data!AK142="Solar", 1,
cleaned_data!AK142="Generator", 0.75,
cleaned_data!AK142="Eskom grid", 0.5,
TRUE, "")</f>
        <v>0.75</v>
      </c>
      <c r="Z142" cm="1">
        <f t="array" ref="Z142">_xlfn.IFS(cleaned_data!AL142="", "",
cleaned_data!AL142&lt;=8, 1,
cleaned_data!AL142&lt;=14, 0.75,
cleaned_data!AL142&lt;=21, 0.5,
cleaned_data!AL142&gt;=22, 0.25)</f>
        <v>1</v>
      </c>
      <c r="AA142" cm="1">
        <f t="array" ref="AA142">_xlfn.IFS(cleaned_data!AH142=0, 1,
cleaned_data!AH142=1, 0.75,
cleaned_data!AH142=2, 0.5,
cleaned_data!AH142&gt;=3, 0.25)</f>
        <v>1</v>
      </c>
      <c r="AB142" cm="1">
        <f t="array" ref="AB142">_xlfn.IFS(cleaned_data!AO142="", "",
cleaned_data!AO142&gt;=50, 1,
cleaned_data!AO142&gt;=30, 0.75,
cleaned_data!AO142&gt;=10, 0.5,
cleaned_data!AO142&lt;10, 0.25)</f>
        <v>0.5</v>
      </c>
      <c r="AC142" cm="1">
        <f t="array" ref="AC142">_xlfn.IFS(cleaned_data!AP142&gt;=50,1, cleaned_data!AP142&gt;=30,0.75, cleaned_data!AP142&gt;=10,0.5, cleaned_data!AP142&lt;10,0.25)</f>
        <v>0.5</v>
      </c>
      <c r="AD142" cm="1">
        <f t="array" ref="AD142">_xlfn.IFS(cleaned_data!AQ142&gt;=30,1,
cleaned_data!AQ142&gt;=20,0.75,
cleaned_data!AQ142&gt;=10,0.5,
cleaned_data!AQ142&lt;10,0.25)</f>
        <v>1</v>
      </c>
      <c r="AE142" cm="1">
        <f t="array" ref="AE142">_xlfn.IFS(cleaned_data!AR142&gt;=75,1,
cleaned_data!AR142&gt;=50,0.75,
cleaned_data!AR142&gt;=25,0.5,
cleaned_data!AR142&lt;25,0.25)</f>
        <v>1</v>
      </c>
      <c r="AF142">
        <f>IF(cleaned_data!AS142="Yes",1,0)</f>
        <v>0</v>
      </c>
    </row>
    <row r="143" spans="1:32" hidden="1" x14ac:dyDescent="0.35">
      <c r="A143" t="s">
        <v>64</v>
      </c>
      <c r="B143" t="s">
        <v>63</v>
      </c>
      <c r="C143">
        <f>IF(cleaned_data!K143="Registered",1,0)</f>
        <v>1</v>
      </c>
      <c r="D143">
        <f>IF(cleaned_data!L143="Yes",1,0)</f>
        <v>1</v>
      </c>
      <c r="E143">
        <f>IF(cleaned_data!M143="Yes",1,0)</f>
        <v>0</v>
      </c>
      <c r="F143" t="str">
        <f>IF(cleaned_data!O143="Unknown","",IF(cleaned_data!O143="Yes",1,0))</f>
        <v/>
      </c>
      <c r="G143" cm="1">
        <f t="array" ref="G143">_xlfn.IFS(cleaned_data!N143="Owned",1,cleaned_data!N143="Leased",0.75,cleaned_data!N143="State land",0.5,cleaned_data!N143="Communal",0.25)</f>
        <v>1</v>
      </c>
      <c r="H143" s="2" cm="1">
        <f t="array" ref="H143">_xlfn.IFS(cleaned_data!G143&gt;=10,1,cleaned_data!G143&gt;=5,0.75,cleaned_data!G143&gt;=2,0.5,TRUE,0.25)</f>
        <v>0.75</v>
      </c>
      <c r="I143">
        <f>IF(cleaned_data!P143="None",0,1)</f>
        <v>1</v>
      </c>
      <c r="J143" s="2" cm="1">
        <f t="array" ref="J143">_xlfn.IFS(cleaned_data!H143&gt;=20,1,cleaned_data!H143&gt;=10,0.75,cleaned_data!H143&gt;=5,0.5,cleaned_data!H143&gt;=1,0.25,TRUE,0)</f>
        <v>0.75</v>
      </c>
      <c r="K143" cm="1">
        <f t="array" ref="K143">_xlfn.IFS(cleaned_data!Q143&gt;=100000,1,cleaned_data!Q143&gt;=50000,0.75,cleaned_data!Q143&gt;=10000,0.5,TRUE,0.25)</f>
        <v>0.5</v>
      </c>
      <c r="L143" cm="1">
        <f t="array" ref="L143">_xlfn.IFS(cleaned_data!T143="","",cleaned_data!T143&lt;=10,1,cleaned_data!T143&lt;=25,0.75,cleaned_data!T143&lt;=40,0.5, cleaned_data!T143&gt;40,0.25)</f>
        <v>0.5</v>
      </c>
      <c r="M143">
        <f>IF(cleaned_data!U143="Yes",1,0)</f>
        <v>1</v>
      </c>
      <c r="N143" cm="1">
        <f t="array" ref="N143">_xlfn.IFS(cleaned_data!V143="Unknown","",cleaned_data!V143="Yes",1,TRUE,0)</f>
        <v>0</v>
      </c>
      <c r="O143" cm="1">
        <f t="array" ref="O143">_xlfn.IFS(cleaned_data!S143&gt;=4,1,cleaned_data!S143=3,0.75,cleaned_data!S143=2,0.5,cleaned_data!S143=1,0.25,TRUE,0)</f>
        <v>0.25</v>
      </c>
      <c r="P143" cm="1">
        <f t="array" ref="P143">_xlfn.IFS(cleaned_data!AB143&gt;=50,1,cleaned_data!AB143&gt;=35,0.75,cleaned_data!AB143&gt;=20,0.5,TRUE,0.25)</f>
        <v>1</v>
      </c>
      <c r="Q143" cm="1">
        <f t="array" ref="Q143">_xlfn.IFS(cleaned_data!X143&gt;=5,1,cleaned_data!X143&gt;=3,0.75,cleaned_data!X143=2,0.5,cleaned_data!X143=1,0.25,TRUE,0)</f>
        <v>0.75</v>
      </c>
      <c r="R143">
        <f>IF(cleaned_data!Y143="Yes",1,0)</f>
        <v>1</v>
      </c>
      <c r="S143">
        <f>IF(OR(cleaned_data!AF143="GlobalG.A.P.",cleaned_data!AF143="Fairtrade",cleaned_data!AF143="Organic (CERES)"),1,
IF(OR(cleaned_data!AF143="SIZA",cleaned_data!AF143="Woolworths TNC",cleaned_data!AF143="Checkers Good Farming"),0.75,
IF(cleaned_data!AF143="No Certificate",0,
IF(cleaned_data!AF143="Unknown","",""))))</f>
        <v>0</v>
      </c>
      <c r="T143">
        <f>IF(cleaned_data!AG143="Yes",1,0)</f>
        <v>0</v>
      </c>
      <c r="U143">
        <f>IF(OR(cleaned_data!AD143="No Loan",cleaned_data!AD143="Settled",cleaned_data!AD143="Current"),1,
IF(cleaned_data!AD143="In Arrears",0.5,
IF(cleaned_data!AD143="Defaulted",0,
IF(cleaned_data!AD143="Unknown","",""))))</f>
        <v>0.5</v>
      </c>
      <c r="V143" cm="1">
        <f t="array" ref="V143">_xlfn.IFS(cleaned_data!AE143&lt;=0.2,1,
cleaned_data!AE143&lt;=0.5,0.75,
cleaned_data!AE143&lt;=1,0.5,
cleaned_data!AE143&gt;1,0.25)</f>
        <v>1</v>
      </c>
      <c r="W143">
        <f>IF(cleaned_data!AJ143="Yes",1,0)</f>
        <v>0</v>
      </c>
      <c r="X143" s="2" cm="1">
        <f t="array" ref="X143">_xlfn.IFS(cleaned_data!AM143="Yes", 1,
cleaned_data!AM143="No", 0,
cleaned_data!AM143="Unknown", "")</f>
        <v>0</v>
      </c>
      <c r="Y143" cm="1">
        <f t="array" ref="Y143">_xlfn.IFS(cleaned_data!AK143="Solar", 1,
cleaned_data!AK143="Generator", 0.75,
cleaned_data!AK143="Eskom grid", 0.5,
TRUE, "")</f>
        <v>0.5</v>
      </c>
      <c r="Z143" cm="1">
        <f t="array" ref="Z143">_xlfn.IFS(cleaned_data!AL143="", "",
cleaned_data!AL143&lt;=8, 1,
cleaned_data!AL143&lt;=14, 0.75,
cleaned_data!AL143&lt;=21, 0.5,
cleaned_data!AL143&gt;=22, 0.25)</f>
        <v>0.75</v>
      </c>
      <c r="AA143" cm="1">
        <f t="array" ref="AA143">_xlfn.IFS(cleaned_data!AH143=0, 1,
cleaned_data!AH143=1, 0.75,
cleaned_data!AH143=2, 0.5,
cleaned_data!AH143&gt;=3, 0.25)</f>
        <v>0.25</v>
      </c>
      <c r="AB143" cm="1">
        <f t="array" ref="AB143">_xlfn.IFS(cleaned_data!AO143="", "",
cleaned_data!AO143&gt;=50, 1,
cleaned_data!AO143&gt;=30, 0.75,
cleaned_data!AO143&gt;=10, 0.5,
cleaned_data!AO143&lt;10, 0.25)</f>
        <v>0.25</v>
      </c>
      <c r="AC143" cm="1">
        <f t="array" ref="AC143">_xlfn.IFS(cleaned_data!AP143&gt;=50,1, cleaned_data!AP143&gt;=30,0.75, cleaned_data!AP143&gt;=10,0.5, cleaned_data!AP143&lt;10,0.25)</f>
        <v>0.5</v>
      </c>
      <c r="AD143" cm="1">
        <f t="array" ref="AD143">_xlfn.IFS(cleaned_data!AQ143&gt;=30,1,
cleaned_data!AQ143&gt;=20,0.75,
cleaned_data!AQ143&gt;=10,0.5,
cleaned_data!AQ143&lt;10,0.25)</f>
        <v>0.75</v>
      </c>
      <c r="AE143" cm="1">
        <f t="array" ref="AE143">_xlfn.IFS(cleaned_data!AR143&gt;=75,1,
cleaned_data!AR143&gt;=50,0.75,
cleaned_data!AR143&gt;=25,0.5,
cleaned_data!AR143&lt;25,0.25)</f>
        <v>1</v>
      </c>
      <c r="AF143">
        <f>IF(cleaned_data!AS143="Yes",1,0)</f>
        <v>0</v>
      </c>
    </row>
    <row r="144" spans="1:32" x14ac:dyDescent="0.35">
      <c r="A144" t="s">
        <v>59</v>
      </c>
      <c r="B144" t="s">
        <v>58</v>
      </c>
      <c r="C144">
        <f>IF(cleaned_data!K144="Registered",1,0)</f>
        <v>0</v>
      </c>
      <c r="D144">
        <f>IF(cleaned_data!L144="Yes",1,0)</f>
        <v>0</v>
      </c>
      <c r="E144">
        <f>IF(cleaned_data!M144="Yes",1,0)</f>
        <v>0</v>
      </c>
      <c r="F144">
        <f>IF(cleaned_data!O144="Unknown","",IF(cleaned_data!O144="Yes",1,0))</f>
        <v>0</v>
      </c>
      <c r="G144" cm="1">
        <f t="array" ref="G144">_xlfn.IFS(cleaned_data!N144="Owned",1,cleaned_data!N144="Leased",0.75,cleaned_data!N144="State land",0.5,cleaned_data!N144="Communal",0.25)</f>
        <v>0.25</v>
      </c>
      <c r="H144" s="2" cm="1">
        <f t="array" ref="H144">_xlfn.IFS(cleaned_data!G144&gt;=10,1,cleaned_data!G144&gt;=5,0.75,cleaned_data!G144&gt;=2,0.5,TRUE,0.25)</f>
        <v>0.5</v>
      </c>
      <c r="I144">
        <f>IF(cleaned_data!P144="None",0,1)</f>
        <v>1</v>
      </c>
      <c r="J144" s="2" cm="1">
        <f t="array" ref="J144">_xlfn.IFS(cleaned_data!H144&gt;=20,1,cleaned_data!H144&gt;=10,0.75,cleaned_data!H144&gt;=5,0.5,cleaned_data!H144&gt;=1,0.25,TRUE,0)</f>
        <v>0.25</v>
      </c>
      <c r="K144" cm="1">
        <f t="array" ref="K144">_xlfn.IFS(cleaned_data!Q144&gt;=100000,1,cleaned_data!Q144&gt;=50000,0.75,cleaned_data!Q144&gt;=10000,0.5,TRUE,0.25)</f>
        <v>0.5</v>
      </c>
      <c r="L144" cm="1">
        <f t="array" ref="L144">_xlfn.IFS(cleaned_data!T144="","",cleaned_data!T144&lt;=10,1,cleaned_data!T144&lt;=25,0.75,cleaned_data!T144&lt;=40,0.5, cleaned_data!T144&gt;40,0.25)</f>
        <v>0.5</v>
      </c>
      <c r="M144">
        <f>IF(cleaned_data!U144="Yes",1,0)</f>
        <v>1</v>
      </c>
      <c r="N144" cm="1">
        <f t="array" ref="N144">_xlfn.IFS(cleaned_data!V144="Unknown","",cleaned_data!V144="Yes",1,TRUE,0)</f>
        <v>0</v>
      </c>
      <c r="O144" cm="1">
        <f t="array" ref="O144">_xlfn.IFS(cleaned_data!S144&gt;=4,1,cleaned_data!S144=3,0.75,cleaned_data!S144=2,0.5,cleaned_data!S144=1,0.25,TRUE,0)</f>
        <v>1</v>
      </c>
      <c r="P144" cm="1">
        <f t="array" ref="P144">_xlfn.IFS(cleaned_data!AB144&gt;=50,1,cleaned_data!AB144&gt;=35,0.75,cleaned_data!AB144&gt;=20,0.5,TRUE,0.25)</f>
        <v>0.75</v>
      </c>
      <c r="Q144" cm="1">
        <f t="array" ref="Q144">_xlfn.IFS(cleaned_data!X144&gt;=5,1,cleaned_data!X144&gt;=3,0.75,cleaned_data!X144=2,0.5,cleaned_data!X144=1,0.25,TRUE,0)</f>
        <v>0.25</v>
      </c>
      <c r="R144">
        <f>IF(cleaned_data!Y144="Yes",1,0)</f>
        <v>0</v>
      </c>
      <c r="S144" t="str">
        <f>IF(OR(cleaned_data!AF144="GlobalG.A.P.",cleaned_data!AF144="Fairtrade",cleaned_data!AF144="Organic (CERES)"),1,
IF(OR(cleaned_data!AF144="SIZA",cleaned_data!AF144="Woolworths TNC",cleaned_data!AF144="Checkers Good Farming"),0.75,
IF(cleaned_data!AF144="No Certificate",0,
IF(cleaned_data!AF144="Unknown","",""))))</f>
        <v/>
      </c>
      <c r="T144">
        <f>IF(cleaned_data!AG144="Yes",1,0)</f>
        <v>0</v>
      </c>
      <c r="U144">
        <f>IF(OR(cleaned_data!AD144="No Loan",cleaned_data!AD144="Settled",cleaned_data!AD144="Current"),1,
IF(cleaned_data!AD144="In Arrears",0.5,
IF(cleaned_data!AD144="Defaulted",0,
IF(cleaned_data!AD144="Unknown","",""))))</f>
        <v>0.5</v>
      </c>
      <c r="V144" cm="1">
        <f t="array" ref="V144">_xlfn.IFS(cleaned_data!AE144&lt;=0.2,1,
cleaned_data!AE144&lt;=0.5,0.75,
cleaned_data!AE144&lt;=1,0.5,
cleaned_data!AE144&gt;1,0.25)</f>
        <v>0.25</v>
      </c>
      <c r="W144">
        <f>IF(cleaned_data!AJ144="Yes",1,0)</f>
        <v>0</v>
      </c>
      <c r="X144" s="2" cm="1">
        <f t="array" ref="X144">_xlfn.IFS(cleaned_data!AM144="Yes", 1,
cleaned_data!AM144="No", 0,
cleaned_data!AM144="Unknown", "")</f>
        <v>1</v>
      </c>
      <c r="Y144" cm="1">
        <f t="array" ref="Y144">_xlfn.IFS(cleaned_data!AK144="Solar", 1,
cleaned_data!AK144="Generator", 0.75,
cleaned_data!AK144="Eskom grid", 0.5,
TRUE, "")</f>
        <v>0.75</v>
      </c>
      <c r="Z144" cm="1">
        <f t="array" ref="Z144">_xlfn.IFS(cleaned_data!AL144="", "",
cleaned_data!AL144&lt;=8, 1,
cleaned_data!AL144&lt;=14, 0.75,
cleaned_data!AL144&lt;=21, 0.5,
cleaned_data!AL144&gt;=22, 0.25)</f>
        <v>0.75</v>
      </c>
      <c r="AA144" cm="1">
        <f t="array" ref="AA144">_xlfn.IFS(cleaned_data!AH144=0, 1,
cleaned_data!AH144=1, 0.75,
cleaned_data!AH144=2, 0.5,
cleaned_data!AH144&gt;=3, 0.25)</f>
        <v>0.25</v>
      </c>
      <c r="AB144" cm="1">
        <f t="array" ref="AB144">_xlfn.IFS(cleaned_data!AO144="", "",
cleaned_data!AO144&gt;=50, 1,
cleaned_data!AO144&gt;=30, 0.75,
cleaned_data!AO144&gt;=10, 0.5,
cleaned_data!AO144&lt;10, 0.25)</f>
        <v>1</v>
      </c>
      <c r="AC144" cm="1">
        <f t="array" ref="AC144">_xlfn.IFS(cleaned_data!AP144&gt;=50,1, cleaned_data!AP144&gt;=30,0.75, cleaned_data!AP144&gt;=10,0.5, cleaned_data!AP144&lt;10,0.25)</f>
        <v>0.75</v>
      </c>
      <c r="AD144" cm="1">
        <f t="array" ref="AD144">_xlfn.IFS(cleaned_data!AQ144&gt;=30,1,
cleaned_data!AQ144&gt;=20,0.75,
cleaned_data!AQ144&gt;=10,0.5,
cleaned_data!AQ144&lt;10,0.25)</f>
        <v>1</v>
      </c>
      <c r="AE144" cm="1">
        <f t="array" ref="AE144">_xlfn.IFS(cleaned_data!AR144&gt;=75,1,
cleaned_data!AR144&gt;=50,0.75,
cleaned_data!AR144&gt;=25,0.5,
cleaned_data!AR144&lt;25,0.25)</f>
        <v>1</v>
      </c>
      <c r="AF144">
        <f>IF(cleaned_data!AS144="Yes",1,0)</f>
        <v>1</v>
      </c>
    </row>
    <row r="145" spans="1:32" x14ac:dyDescent="0.35">
      <c r="A145" t="s">
        <v>53</v>
      </c>
      <c r="B145" t="s">
        <v>52</v>
      </c>
      <c r="C145">
        <f>IF(cleaned_data!K145="Registered",1,0)</f>
        <v>0</v>
      </c>
      <c r="D145">
        <f>IF(cleaned_data!L145="Yes",1,0)</f>
        <v>0</v>
      </c>
      <c r="E145">
        <f>IF(cleaned_data!M145="Yes",1,0)</f>
        <v>1</v>
      </c>
      <c r="F145">
        <f>IF(cleaned_data!O145="Unknown","",IF(cleaned_data!O145="Yes",1,0))</f>
        <v>0</v>
      </c>
      <c r="G145" cm="1">
        <f t="array" ref="G145">_xlfn.IFS(cleaned_data!N145="Owned",1,cleaned_data!N145="Leased",0.75,cleaned_data!N145="State land",0.5,cleaned_data!N145="Communal",0.25)</f>
        <v>1</v>
      </c>
      <c r="H145" s="2" cm="1">
        <f t="array" ref="H145">_xlfn.IFS(cleaned_data!G145&gt;=10,1,cleaned_data!G145&gt;=5,0.75,cleaned_data!G145&gt;=2,0.5,TRUE,0.25)</f>
        <v>1</v>
      </c>
      <c r="I145">
        <f>IF(cleaned_data!P145="None",0,1)</f>
        <v>0</v>
      </c>
      <c r="J145" s="2" cm="1">
        <f t="array" ref="J145">_xlfn.IFS(cleaned_data!H145&gt;=20,1,cleaned_data!H145&gt;=10,0.75,cleaned_data!H145&gt;=5,0.5,cleaned_data!H145&gt;=1,0.25,TRUE,0)</f>
        <v>0.5</v>
      </c>
      <c r="K145" cm="1">
        <f t="array" ref="K145">_xlfn.IFS(cleaned_data!Q145&gt;=100000,1,cleaned_data!Q145&gt;=50000,0.75,cleaned_data!Q145&gt;=10000,0.5,TRUE,0.25)</f>
        <v>0.5</v>
      </c>
      <c r="L145" cm="1">
        <f t="array" ref="L145">_xlfn.IFS(cleaned_data!T145="","",cleaned_data!T145&lt;=10,1,cleaned_data!T145&lt;=25,0.75,cleaned_data!T145&lt;=40,0.5, cleaned_data!T145&gt;40,0.25)</f>
        <v>0.5</v>
      </c>
      <c r="M145">
        <f>IF(cleaned_data!U145="Yes",1,0)</f>
        <v>1</v>
      </c>
      <c r="N145" cm="1">
        <f t="array" ref="N145">_xlfn.IFS(cleaned_data!V145="Unknown","",cleaned_data!V145="Yes",1,TRUE,0)</f>
        <v>0</v>
      </c>
      <c r="O145" cm="1">
        <f t="array" ref="O145">_xlfn.IFS(cleaned_data!S145&gt;=4,1,cleaned_data!S145=3,0.75,cleaned_data!S145=2,0.5,cleaned_data!S145=1,0.25,TRUE,0)</f>
        <v>0.5</v>
      </c>
      <c r="P145" cm="1">
        <f t="array" ref="P145">_xlfn.IFS(cleaned_data!AB145&gt;=50,1,cleaned_data!AB145&gt;=35,0.75,cleaned_data!AB145&gt;=20,0.5,TRUE,0.25)</f>
        <v>1</v>
      </c>
      <c r="Q145" cm="1">
        <f t="array" ref="Q145">_xlfn.IFS(cleaned_data!X145&gt;=5,1,cleaned_data!X145&gt;=3,0.75,cleaned_data!X145=2,0.5,cleaned_data!X145=1,0.25,TRUE,0)</f>
        <v>0.5</v>
      </c>
      <c r="R145">
        <f>IF(cleaned_data!Y145="Yes",1,0)</f>
        <v>0</v>
      </c>
      <c r="S145">
        <f>IF(OR(cleaned_data!AF145="GlobalG.A.P.",cleaned_data!AF145="Fairtrade",cleaned_data!AF145="Organic (CERES)"),1,
IF(OR(cleaned_data!AF145="SIZA",cleaned_data!AF145="Woolworths TNC",cleaned_data!AF145="Checkers Good Farming"),0.75,
IF(cleaned_data!AF145="No Certificate",0,
IF(cleaned_data!AF145="Unknown","",""))))</f>
        <v>0</v>
      </c>
      <c r="T145">
        <f>IF(cleaned_data!AG145="Yes",1,0)</f>
        <v>0</v>
      </c>
      <c r="U145">
        <f>IF(OR(cleaned_data!AD145="No Loan",cleaned_data!AD145="Settled",cleaned_data!AD145="Current"),1,
IF(cleaned_data!AD145="In Arrears",0.5,
IF(cleaned_data!AD145="Defaulted",0,
IF(cleaned_data!AD145="Unknown","",""))))</f>
        <v>1</v>
      </c>
      <c r="V145" cm="1">
        <f t="array" ref="V145">_xlfn.IFS(cleaned_data!AE145&lt;=0.2,1,
cleaned_data!AE145&lt;=0.5,0.75,
cleaned_data!AE145&lt;=1,0.5,
cleaned_data!AE145&gt;1,0.25)</f>
        <v>0.75</v>
      </c>
      <c r="W145">
        <f>IF(cleaned_data!AJ145="Yes",1,0)</f>
        <v>1</v>
      </c>
      <c r="X145" s="2" t="str" cm="1">
        <f t="array" ref="X145">_xlfn.IFS(cleaned_data!AM145="Yes", 1,
cleaned_data!AM145="No", 0,
cleaned_data!AM145="Unknown", "")</f>
        <v/>
      </c>
      <c r="Y145" cm="1">
        <f t="array" ref="Y145">_xlfn.IFS(cleaned_data!AK145="Solar", 1,
cleaned_data!AK145="Generator", 0.75,
cleaned_data!AK145="Eskom grid", 0.5,
TRUE, "")</f>
        <v>0.5</v>
      </c>
      <c r="Z145" cm="1">
        <f t="array" ref="Z145">_xlfn.IFS(cleaned_data!AL145="", "",
cleaned_data!AL145&lt;=8, 1,
cleaned_data!AL145&lt;=14, 0.75,
cleaned_data!AL145&lt;=21, 0.5,
cleaned_data!AL145&gt;=22, 0.25)</f>
        <v>0.5</v>
      </c>
      <c r="AA145" cm="1">
        <f t="array" ref="AA145">_xlfn.IFS(cleaned_data!AH145=0, 1,
cleaned_data!AH145=1, 0.75,
cleaned_data!AH145=2, 0.5,
cleaned_data!AH145&gt;=3, 0.25)</f>
        <v>0.25</v>
      </c>
      <c r="AB145" cm="1">
        <f t="array" ref="AB145">_xlfn.IFS(cleaned_data!AO145="", "",
cleaned_data!AO145&gt;=50, 1,
cleaned_data!AO145&gt;=30, 0.75,
cleaned_data!AO145&gt;=10, 0.5,
cleaned_data!AO145&lt;10, 0.25)</f>
        <v>1</v>
      </c>
      <c r="AC145" cm="1">
        <f t="array" ref="AC145">_xlfn.IFS(cleaned_data!AP145&gt;=50,1, cleaned_data!AP145&gt;=30,0.75, cleaned_data!AP145&gt;=10,0.5, cleaned_data!AP145&lt;10,0.25)</f>
        <v>0.75</v>
      </c>
      <c r="AD145" cm="1">
        <f t="array" ref="AD145">_xlfn.IFS(cleaned_data!AQ145&gt;=30,1,
cleaned_data!AQ145&gt;=20,0.75,
cleaned_data!AQ145&gt;=10,0.5,
cleaned_data!AQ145&lt;10,0.25)</f>
        <v>0.5</v>
      </c>
      <c r="AE145" cm="1">
        <f t="array" ref="AE145">_xlfn.IFS(cleaned_data!AR145&gt;=75,1,
cleaned_data!AR145&gt;=50,0.75,
cleaned_data!AR145&gt;=25,0.5,
cleaned_data!AR145&lt;25,0.25)</f>
        <v>1</v>
      </c>
      <c r="AF145">
        <f>IF(cleaned_data!AS145="Yes",1,0)</f>
        <v>0</v>
      </c>
    </row>
    <row r="146" spans="1:32" hidden="1" x14ac:dyDescent="0.35">
      <c r="A146" t="s">
        <v>47</v>
      </c>
      <c r="B146" t="s">
        <v>46</v>
      </c>
      <c r="C146">
        <f>IF(cleaned_data!K146="Registered",1,0)</f>
        <v>0</v>
      </c>
      <c r="D146">
        <f>IF(cleaned_data!L146="Yes",1,0)</f>
        <v>0</v>
      </c>
      <c r="E146">
        <f>IF(cleaned_data!M146="Yes",1,0)</f>
        <v>1</v>
      </c>
      <c r="F146">
        <f>IF(cleaned_data!O146="Unknown","",IF(cleaned_data!O146="Yes",1,0))</f>
        <v>0</v>
      </c>
      <c r="G146" cm="1">
        <f t="array" ref="G146">_xlfn.IFS(cleaned_data!N146="Owned",1,cleaned_data!N146="Leased",0.75,cleaned_data!N146="State land",0.5,cleaned_data!N146="Communal",0.25)</f>
        <v>0.75</v>
      </c>
      <c r="H146" s="2" cm="1">
        <f t="array" ref="H146">_xlfn.IFS(cleaned_data!G146&gt;=10,1,cleaned_data!G146&gt;=5,0.75,cleaned_data!G146&gt;=2,0.5,TRUE,0.25)</f>
        <v>1</v>
      </c>
      <c r="I146">
        <f>IF(cleaned_data!P146="None",0,1)</f>
        <v>1</v>
      </c>
      <c r="J146" s="2" cm="1">
        <f t="array" ref="J146">_xlfn.IFS(cleaned_data!H146&gt;=20,1,cleaned_data!H146&gt;=10,0.75,cleaned_data!H146&gt;=5,0.5,cleaned_data!H146&gt;=1,0.25,TRUE,0)</f>
        <v>0.75</v>
      </c>
      <c r="K146" cm="1">
        <f t="array" ref="K146">_xlfn.IFS(cleaned_data!Q146&gt;=100000,1,cleaned_data!Q146&gt;=50000,0.75,cleaned_data!Q146&gt;=10000,0.5,TRUE,0.25)</f>
        <v>0.5</v>
      </c>
      <c r="L146" cm="1">
        <f t="array" ref="L146">_xlfn.IFS(cleaned_data!T146="","",cleaned_data!T146&lt;=10,1,cleaned_data!T146&lt;=25,0.75,cleaned_data!T146&lt;=40,0.5, cleaned_data!T146&gt;40,0.25)</f>
        <v>0.5</v>
      </c>
      <c r="M146">
        <f>IF(cleaned_data!U146="Yes",1,0)</f>
        <v>0</v>
      </c>
      <c r="N146" cm="1">
        <f t="array" ref="N146">_xlfn.IFS(cleaned_data!V146="Unknown","",cleaned_data!V146="Yes",1,TRUE,0)</f>
        <v>0</v>
      </c>
      <c r="O146" cm="1">
        <f t="array" ref="O146">_xlfn.IFS(cleaned_data!S146&gt;=4,1,cleaned_data!S146=3,0.75,cleaned_data!S146=2,0.5,cleaned_data!S146=1,0.25,TRUE,0)</f>
        <v>1</v>
      </c>
      <c r="P146" cm="1">
        <f t="array" ref="P146">_xlfn.IFS(cleaned_data!AB146&gt;=50,1,cleaned_data!AB146&gt;=35,0.75,cleaned_data!AB146&gt;=20,0.5,TRUE,0.25)</f>
        <v>0.75</v>
      </c>
      <c r="Q146" cm="1">
        <f t="array" ref="Q146">_xlfn.IFS(cleaned_data!X146&gt;=5,1,cleaned_data!X146&gt;=3,0.75,cleaned_data!X146=2,0.5,cleaned_data!X146=1,0.25,TRUE,0)</f>
        <v>0.25</v>
      </c>
      <c r="R146">
        <f>IF(cleaned_data!Y146="Yes",1,0)</f>
        <v>0</v>
      </c>
      <c r="S146">
        <f>IF(OR(cleaned_data!AF146="GlobalG.A.P.",cleaned_data!AF146="Fairtrade",cleaned_data!AF146="Organic (CERES)"),1,
IF(OR(cleaned_data!AF146="SIZA",cleaned_data!AF146="Woolworths TNC",cleaned_data!AF146="Checkers Good Farming"),0.75,
IF(cleaned_data!AF146="No Certificate",0,
IF(cleaned_data!AF146="Unknown","",""))))</f>
        <v>0</v>
      </c>
      <c r="T146">
        <f>IF(cleaned_data!AG146="Yes",1,0)</f>
        <v>0</v>
      </c>
      <c r="U146">
        <f>IF(OR(cleaned_data!AD146="No Loan",cleaned_data!AD146="Settled",cleaned_data!AD146="Current"),1,
IF(cleaned_data!AD146="In Arrears",0.5,
IF(cleaned_data!AD146="Defaulted",0,
IF(cleaned_data!AD146="Unknown","",""))))</f>
        <v>0.5</v>
      </c>
      <c r="V146" cm="1">
        <f t="array" ref="V146">_xlfn.IFS(cleaned_data!AE146&lt;=0.2,1,
cleaned_data!AE146&lt;=0.5,0.75,
cleaned_data!AE146&lt;=1,0.5,
cleaned_data!AE146&gt;1,0.25)</f>
        <v>0.25</v>
      </c>
      <c r="W146">
        <f>IF(cleaned_data!AJ146="Yes",1,0)</f>
        <v>0</v>
      </c>
      <c r="X146" s="2" cm="1">
        <f t="array" ref="X146">_xlfn.IFS(cleaned_data!AM146="Yes", 1,
cleaned_data!AM146="No", 0,
cleaned_data!AM146="Unknown", "")</f>
        <v>0</v>
      </c>
      <c r="Y146" cm="1">
        <f t="array" ref="Y146">_xlfn.IFS(cleaned_data!AK146="Solar", 1,
cleaned_data!AK146="Generator", 0.75,
cleaned_data!AK146="Eskom grid", 0.5,
TRUE, "")</f>
        <v>0.5</v>
      </c>
      <c r="Z146" cm="1">
        <f t="array" ref="Z146">_xlfn.IFS(cleaned_data!AL146="", "",
cleaned_data!AL146&lt;=8, 1,
cleaned_data!AL146&lt;=14, 0.75,
cleaned_data!AL146&lt;=21, 0.5,
cleaned_data!AL146&gt;=22, 0.25)</f>
        <v>0.5</v>
      </c>
      <c r="AA146" cm="1">
        <f t="array" ref="AA146">_xlfn.IFS(cleaned_data!AH146=0, 1,
cleaned_data!AH146=1, 0.75,
cleaned_data!AH146=2, 0.5,
cleaned_data!AH146&gt;=3, 0.25)</f>
        <v>0.5</v>
      </c>
      <c r="AB146" cm="1">
        <f t="array" ref="AB146">_xlfn.IFS(cleaned_data!AO146="", "",
cleaned_data!AO146&gt;=50, 1,
cleaned_data!AO146&gt;=30, 0.75,
cleaned_data!AO146&gt;=10, 0.5,
cleaned_data!AO146&lt;10, 0.25)</f>
        <v>0.5</v>
      </c>
      <c r="AC146" cm="1">
        <f t="array" ref="AC146">_xlfn.IFS(cleaned_data!AP146&gt;=50,1, cleaned_data!AP146&gt;=30,0.75, cleaned_data!AP146&gt;=10,0.5, cleaned_data!AP146&lt;10,0.25)</f>
        <v>0.75</v>
      </c>
      <c r="AD146" cm="1">
        <f t="array" ref="AD146">_xlfn.IFS(cleaned_data!AQ146&gt;=30,1,
cleaned_data!AQ146&gt;=20,0.75,
cleaned_data!AQ146&gt;=10,0.5,
cleaned_data!AQ146&lt;10,0.25)</f>
        <v>0.5</v>
      </c>
      <c r="AE146" cm="1">
        <f t="array" ref="AE146">_xlfn.IFS(cleaned_data!AR146&gt;=75,1,
cleaned_data!AR146&gt;=50,0.75,
cleaned_data!AR146&gt;=25,0.5,
cleaned_data!AR146&lt;25,0.25)</f>
        <v>1</v>
      </c>
      <c r="AF146">
        <f>IF(cleaned_data!AS146="Yes",1,0)</f>
        <v>0</v>
      </c>
    </row>
    <row r="147" spans="1:32" x14ac:dyDescent="0.35">
      <c r="A147" t="s">
        <v>41</v>
      </c>
      <c r="B147" t="s">
        <v>40</v>
      </c>
      <c r="C147">
        <f>IF(cleaned_data!K147="Registered",1,0)</f>
        <v>0</v>
      </c>
      <c r="D147">
        <f>IF(cleaned_data!L147="Yes",1,0)</f>
        <v>1</v>
      </c>
      <c r="E147">
        <f>IF(cleaned_data!M147="Yes",1,0)</f>
        <v>1</v>
      </c>
      <c r="F147">
        <f>IF(cleaned_data!O147="Unknown","",IF(cleaned_data!O147="Yes",1,0))</f>
        <v>1</v>
      </c>
      <c r="G147" cm="1">
        <f t="array" ref="G147">_xlfn.IFS(cleaned_data!N147="Owned",1,cleaned_data!N147="Leased",0.75,cleaned_data!N147="State land",0.5,cleaned_data!N147="Communal",0.25)</f>
        <v>1</v>
      </c>
      <c r="H147" s="2" cm="1">
        <f t="array" ref="H147">_xlfn.IFS(cleaned_data!G147&gt;=10,1,cleaned_data!G147&gt;=5,0.75,cleaned_data!G147&gt;=2,0.5,TRUE,0.25)</f>
        <v>1</v>
      </c>
      <c r="I147">
        <f>IF(cleaned_data!P147="None",0,1)</f>
        <v>1</v>
      </c>
      <c r="J147" s="2" cm="1">
        <f t="array" ref="J147">_xlfn.IFS(cleaned_data!H147&gt;=20,1,cleaned_data!H147&gt;=10,0.75,cleaned_data!H147&gt;=5,0.5,cleaned_data!H147&gt;=1,0.25,TRUE,0)</f>
        <v>1</v>
      </c>
      <c r="K147" cm="1">
        <f t="array" ref="K147">_xlfn.IFS(cleaned_data!Q147&gt;=100000,1,cleaned_data!Q147&gt;=50000,0.75,cleaned_data!Q147&gt;=10000,0.5,TRUE,0.25)</f>
        <v>0.75</v>
      </c>
      <c r="L147" cm="1">
        <f t="array" ref="L147">_xlfn.IFS(cleaned_data!T147="","",cleaned_data!T147&lt;=10,1,cleaned_data!T147&lt;=25,0.75,cleaned_data!T147&lt;=40,0.5, cleaned_data!T147&gt;40,0.25)</f>
        <v>0.5</v>
      </c>
      <c r="M147">
        <f>IF(cleaned_data!U147="Yes",1,0)</f>
        <v>0</v>
      </c>
      <c r="N147" cm="1">
        <f t="array" ref="N147">_xlfn.IFS(cleaned_data!V147="Unknown","",cleaned_data!V147="Yes",1,TRUE,0)</f>
        <v>0</v>
      </c>
      <c r="O147" cm="1">
        <f t="array" ref="O147">_xlfn.IFS(cleaned_data!S147&gt;=4,1,cleaned_data!S147=3,0.75,cleaned_data!S147=2,0.5,cleaned_data!S147=1,0.25,TRUE,0)</f>
        <v>1</v>
      </c>
      <c r="P147" cm="1">
        <f t="array" ref="P147">_xlfn.IFS(cleaned_data!AB147&gt;=50,1,cleaned_data!AB147&gt;=35,0.75,cleaned_data!AB147&gt;=20,0.5,TRUE,0.25)</f>
        <v>0.75</v>
      </c>
      <c r="Q147" cm="1">
        <f t="array" ref="Q147">_xlfn.IFS(cleaned_data!X147&gt;=5,1,cleaned_data!X147&gt;=3,0.75,cleaned_data!X147=2,0.5,cleaned_data!X147=1,0.25,TRUE,0)</f>
        <v>0.75</v>
      </c>
      <c r="R147">
        <f>IF(cleaned_data!Y147="Yes",1,0)</f>
        <v>0</v>
      </c>
      <c r="S147" t="str">
        <f>IF(OR(cleaned_data!AF147="GlobalG.A.P.",cleaned_data!AF147="Fairtrade",cleaned_data!AF147="Organic (CERES)"),1,
IF(OR(cleaned_data!AF147="SIZA",cleaned_data!AF147="Woolworths TNC",cleaned_data!AF147="Checkers Good Farming"),0.75,
IF(cleaned_data!AF147="No Certificate",0,
IF(cleaned_data!AF147="Unknown","",""))))</f>
        <v/>
      </c>
      <c r="T147">
        <f>IF(cleaned_data!AG147="Yes",1,0)</f>
        <v>0</v>
      </c>
      <c r="U147">
        <f>IF(OR(cleaned_data!AD147="No Loan",cleaned_data!AD147="Settled",cleaned_data!AD147="Current"),1,
IF(cleaned_data!AD147="In Arrears",0.5,
IF(cleaned_data!AD147="Defaulted",0,
IF(cleaned_data!AD147="Unknown","",""))))</f>
        <v>0.5</v>
      </c>
      <c r="V147" cm="1">
        <f t="array" ref="V147">_xlfn.IFS(cleaned_data!AE147&lt;=0.2,1,
cleaned_data!AE147&lt;=0.5,0.75,
cleaned_data!AE147&lt;=1,0.5,
cleaned_data!AE147&gt;1,0.25)</f>
        <v>1</v>
      </c>
      <c r="W147">
        <f>IF(cleaned_data!AJ147="Yes",1,0)</f>
        <v>1</v>
      </c>
      <c r="X147" s="2" cm="1">
        <f t="array" ref="X147">_xlfn.IFS(cleaned_data!AM147="Yes", 1,
cleaned_data!AM147="No", 0,
cleaned_data!AM147="Unknown", "")</f>
        <v>1</v>
      </c>
      <c r="Y147" cm="1">
        <f t="array" ref="Y147">_xlfn.IFS(cleaned_data!AK147="Solar", 1,
cleaned_data!AK147="Generator", 0.75,
cleaned_data!AK147="Eskom grid", 0.5,
TRUE, "")</f>
        <v>1</v>
      </c>
      <c r="Z147" cm="1">
        <f t="array" ref="Z147">_xlfn.IFS(cleaned_data!AL147="", "",
cleaned_data!AL147&lt;=8, 1,
cleaned_data!AL147&lt;=14, 0.75,
cleaned_data!AL147&lt;=21, 0.5,
cleaned_data!AL147&gt;=22, 0.25)</f>
        <v>1</v>
      </c>
      <c r="AA147" cm="1">
        <f t="array" ref="AA147">_xlfn.IFS(cleaned_data!AH147=0, 1,
cleaned_data!AH147=1, 0.75,
cleaned_data!AH147=2, 0.5,
cleaned_data!AH147&gt;=3, 0.25)</f>
        <v>0.25</v>
      </c>
      <c r="AB147" cm="1">
        <f t="array" ref="AB147">_xlfn.IFS(cleaned_data!AO147="", "",
cleaned_data!AO147&gt;=50, 1,
cleaned_data!AO147&gt;=30, 0.75,
cleaned_data!AO147&gt;=10, 0.5,
cleaned_data!AO147&lt;10, 0.25)</f>
        <v>1</v>
      </c>
      <c r="AC147" cm="1">
        <f t="array" ref="AC147">_xlfn.IFS(cleaned_data!AP147&gt;=50,1, cleaned_data!AP147&gt;=30,0.75, cleaned_data!AP147&gt;=10,0.5, cleaned_data!AP147&lt;10,0.25)</f>
        <v>0.75</v>
      </c>
      <c r="AD147" cm="1">
        <f t="array" ref="AD147">_xlfn.IFS(cleaned_data!AQ147&gt;=30,1,
cleaned_data!AQ147&gt;=20,0.75,
cleaned_data!AQ147&gt;=10,0.5,
cleaned_data!AQ147&lt;10,0.25)</f>
        <v>0.5</v>
      </c>
      <c r="AE147" cm="1">
        <f t="array" ref="AE147">_xlfn.IFS(cleaned_data!AR147&gt;=75,1,
cleaned_data!AR147&gt;=50,0.75,
cleaned_data!AR147&gt;=25,0.5,
cleaned_data!AR147&lt;25,0.25)</f>
        <v>0.75</v>
      </c>
      <c r="AF147">
        <f>IF(cleaned_data!AS147="Yes",1,0)</f>
        <v>1</v>
      </c>
    </row>
    <row r="148" spans="1:32" hidden="1" x14ac:dyDescent="0.35">
      <c r="A148" t="s">
        <v>37</v>
      </c>
      <c r="B148" t="s">
        <v>36</v>
      </c>
      <c r="C148">
        <f>IF(cleaned_data!K148="Registered",1,0)</f>
        <v>1</v>
      </c>
      <c r="D148">
        <f>IF(cleaned_data!L148="Yes",1,0)</f>
        <v>0</v>
      </c>
      <c r="E148">
        <f>IF(cleaned_data!M148="Yes",1,0)</f>
        <v>0</v>
      </c>
      <c r="F148">
        <f>IF(cleaned_data!O148="Unknown","",IF(cleaned_data!O148="Yes",1,0))</f>
        <v>1</v>
      </c>
      <c r="G148" cm="1">
        <f t="array" ref="G148">_xlfn.IFS(cleaned_data!N148="Owned",1,cleaned_data!N148="Leased",0.75,cleaned_data!N148="State land",0.5,cleaned_data!N148="Communal",0.25)</f>
        <v>1</v>
      </c>
      <c r="H148" s="2" cm="1">
        <f t="array" ref="H148">_xlfn.IFS(cleaned_data!G148&gt;=10,1,cleaned_data!G148&gt;=5,0.75,cleaned_data!G148&gt;=2,0.5,TRUE,0.25)</f>
        <v>1</v>
      </c>
      <c r="I148">
        <f>IF(cleaned_data!P148="None",0,1)</f>
        <v>1</v>
      </c>
      <c r="J148" s="2" cm="1">
        <f t="array" ref="J148">_xlfn.IFS(cleaned_data!H148&gt;=20,1,cleaned_data!H148&gt;=10,0.75,cleaned_data!H148&gt;=5,0.5,cleaned_data!H148&gt;=1,0.25,TRUE,0)</f>
        <v>0.75</v>
      </c>
      <c r="K148" cm="1">
        <f t="array" ref="K148">_xlfn.IFS(cleaned_data!Q148&gt;=100000,1,cleaned_data!Q148&gt;=50000,0.75,cleaned_data!Q148&gt;=10000,0.5,TRUE,0.25)</f>
        <v>1</v>
      </c>
      <c r="L148" cm="1">
        <f t="array" ref="L148">_xlfn.IFS(cleaned_data!T148="","",cleaned_data!T148&lt;=10,1,cleaned_data!T148&lt;=25,0.75,cleaned_data!T148&lt;=40,0.5, cleaned_data!T148&gt;40,0.25)</f>
        <v>0.5</v>
      </c>
      <c r="M148">
        <f>IF(cleaned_data!U148="Yes",1,0)</f>
        <v>1</v>
      </c>
      <c r="N148" cm="1">
        <f t="array" ref="N148">_xlfn.IFS(cleaned_data!V148="Unknown","",cleaned_data!V148="Yes",1,TRUE,0)</f>
        <v>0</v>
      </c>
      <c r="O148" cm="1">
        <f t="array" ref="O148">_xlfn.IFS(cleaned_data!S148&gt;=4,1,cleaned_data!S148=3,0.75,cleaned_data!S148=2,0.5,cleaned_data!S148=1,0.25,TRUE,0)</f>
        <v>0.25</v>
      </c>
      <c r="P148" cm="1">
        <f t="array" ref="P148">_xlfn.IFS(cleaned_data!AB148&gt;=50,1,cleaned_data!AB148&gt;=35,0.75,cleaned_data!AB148&gt;=20,0.5,TRUE,0.25)</f>
        <v>1</v>
      </c>
      <c r="Q148" cm="1">
        <f t="array" ref="Q148">_xlfn.IFS(cleaned_data!X148&gt;=5,1,cleaned_data!X148&gt;=3,0.75,cleaned_data!X148=2,0.5,cleaned_data!X148=1,0.25,TRUE,0)</f>
        <v>1</v>
      </c>
      <c r="R148">
        <f>IF(cleaned_data!Y148="Yes",1,0)</f>
        <v>1</v>
      </c>
      <c r="S148">
        <f>IF(OR(cleaned_data!AF148="GlobalG.A.P.",cleaned_data!AF148="Fairtrade",cleaned_data!AF148="Organic (CERES)"),1,
IF(OR(cleaned_data!AF148="SIZA",cleaned_data!AF148="Woolworths TNC",cleaned_data!AF148="Checkers Good Farming"),0.75,
IF(cleaned_data!AF148="No Certificate",0,
IF(cleaned_data!AF148="Unknown","",""))))</f>
        <v>0.75</v>
      </c>
      <c r="T148">
        <f>IF(cleaned_data!AG148="Yes",1,0)</f>
        <v>0</v>
      </c>
      <c r="U148">
        <f>IF(OR(cleaned_data!AD148="No Loan",cleaned_data!AD148="Settled",cleaned_data!AD148="Current"),1,
IF(cleaned_data!AD148="In Arrears",0.5,
IF(cleaned_data!AD148="Defaulted",0,
IF(cleaned_data!AD148="Unknown","",""))))</f>
        <v>1</v>
      </c>
      <c r="V148" cm="1">
        <f t="array" ref="V148">_xlfn.IFS(cleaned_data!AE148&lt;=0.2,1,
cleaned_data!AE148&lt;=0.5,0.75,
cleaned_data!AE148&lt;=1,0.5,
cleaned_data!AE148&gt;1,0.25)</f>
        <v>1</v>
      </c>
      <c r="W148">
        <f>IF(cleaned_data!AJ148="Yes",1,0)</f>
        <v>0</v>
      </c>
      <c r="X148" s="2" cm="1">
        <f t="array" ref="X148">_xlfn.IFS(cleaned_data!AM148="Yes", 1,
cleaned_data!AM148="No", 0,
cleaned_data!AM148="Unknown", "")</f>
        <v>0</v>
      </c>
      <c r="Y148" cm="1">
        <f t="array" ref="Y148">_xlfn.IFS(cleaned_data!AK148="Solar", 1,
cleaned_data!AK148="Generator", 0.75,
cleaned_data!AK148="Eskom grid", 0.5,
TRUE, "")</f>
        <v>0.5</v>
      </c>
      <c r="Z148" cm="1">
        <f t="array" ref="Z148">_xlfn.IFS(cleaned_data!AL148="", "",
cleaned_data!AL148&lt;=8, 1,
cleaned_data!AL148&lt;=14, 0.75,
cleaned_data!AL148&lt;=21, 0.5,
cleaned_data!AL148&gt;=22, 0.25)</f>
        <v>0.5</v>
      </c>
      <c r="AA148" cm="1">
        <f t="array" ref="AA148">_xlfn.IFS(cleaned_data!AH148=0, 1,
cleaned_data!AH148=1, 0.75,
cleaned_data!AH148=2, 0.5,
cleaned_data!AH148&gt;=3, 0.25)</f>
        <v>1</v>
      </c>
      <c r="AB148" cm="1">
        <f t="array" ref="AB148">_xlfn.IFS(cleaned_data!AO148="", "",
cleaned_data!AO148&gt;=50, 1,
cleaned_data!AO148&gt;=30, 0.75,
cleaned_data!AO148&gt;=10, 0.5,
cleaned_data!AO148&lt;10, 0.25)</f>
        <v>0.5</v>
      </c>
      <c r="AC148" cm="1">
        <f t="array" ref="AC148">_xlfn.IFS(cleaned_data!AP148&gt;=50,1, cleaned_data!AP148&gt;=30,0.75, cleaned_data!AP148&gt;=10,0.5, cleaned_data!AP148&lt;10,0.25)</f>
        <v>0.75</v>
      </c>
      <c r="AD148" cm="1">
        <f t="array" ref="AD148">_xlfn.IFS(cleaned_data!AQ148&gt;=30,1,
cleaned_data!AQ148&gt;=20,0.75,
cleaned_data!AQ148&gt;=10,0.5,
cleaned_data!AQ148&lt;10,0.25)</f>
        <v>1</v>
      </c>
      <c r="AE148" cm="1">
        <f t="array" ref="AE148">_xlfn.IFS(cleaned_data!AR148&gt;=75,1,
cleaned_data!AR148&gt;=50,0.75,
cleaned_data!AR148&gt;=25,0.5,
cleaned_data!AR148&lt;25,0.25)</f>
        <v>0.75</v>
      </c>
      <c r="AF148">
        <f>IF(cleaned_data!AS148="Yes",1,0)</f>
        <v>1</v>
      </c>
    </row>
    <row r="149" spans="1:32" x14ac:dyDescent="0.35">
      <c r="A149" t="s">
        <v>31</v>
      </c>
      <c r="B149" t="s">
        <v>30</v>
      </c>
      <c r="C149">
        <f>IF(cleaned_data!K149="Registered",1,0)</f>
        <v>1</v>
      </c>
      <c r="D149">
        <f>IF(cleaned_data!L149="Yes",1,0)</f>
        <v>0</v>
      </c>
      <c r="E149">
        <f>IF(cleaned_data!M149="Yes",1,0)</f>
        <v>0</v>
      </c>
      <c r="F149">
        <f>IF(cleaned_data!O149="Unknown","",IF(cleaned_data!O149="Yes",1,0))</f>
        <v>0</v>
      </c>
      <c r="G149" cm="1">
        <f t="array" ref="G149">_xlfn.IFS(cleaned_data!N149="Owned",1,cleaned_data!N149="Leased",0.75,cleaned_data!N149="State land",0.5,cleaned_data!N149="Communal",0.25)</f>
        <v>0.75</v>
      </c>
      <c r="H149" s="2" cm="1">
        <f t="array" ref="H149">_xlfn.IFS(cleaned_data!G149&gt;=10,1,cleaned_data!G149&gt;=5,0.75,cleaned_data!G149&gt;=2,0.5,TRUE,0.25)</f>
        <v>1</v>
      </c>
      <c r="I149">
        <f>IF(cleaned_data!P149="None",0,1)</f>
        <v>1</v>
      </c>
      <c r="J149" s="2" cm="1">
        <f t="array" ref="J149">_xlfn.IFS(cleaned_data!H149&gt;=20,1,cleaned_data!H149&gt;=10,0.75,cleaned_data!H149&gt;=5,0.5,cleaned_data!H149&gt;=1,0.25,TRUE,0)</f>
        <v>0.75</v>
      </c>
      <c r="K149" cm="1">
        <f t="array" ref="K149">_xlfn.IFS(cleaned_data!Q149&gt;=100000,1,cleaned_data!Q149&gt;=50000,0.75,cleaned_data!Q149&gt;=10000,0.5,TRUE,0.25)</f>
        <v>0.75</v>
      </c>
      <c r="L149" cm="1">
        <f t="array" ref="L149">_xlfn.IFS(cleaned_data!T149="","",cleaned_data!T149&lt;=10,1,cleaned_data!T149&lt;=25,0.75,cleaned_data!T149&lt;=40,0.5, cleaned_data!T149&gt;40,0.25)</f>
        <v>0.75</v>
      </c>
      <c r="M149">
        <f>IF(cleaned_data!U149="Yes",1,0)</f>
        <v>1</v>
      </c>
      <c r="N149" cm="1">
        <f t="array" ref="N149">_xlfn.IFS(cleaned_data!V149="Unknown","",cleaned_data!V149="Yes",1,TRUE,0)</f>
        <v>0</v>
      </c>
      <c r="O149" cm="1">
        <f t="array" ref="O149">_xlfn.IFS(cleaned_data!S149&gt;=4,1,cleaned_data!S149=3,0.75,cleaned_data!S149=2,0.5,cleaned_data!S149=1,0.25,TRUE,0)</f>
        <v>0.75</v>
      </c>
      <c r="P149" cm="1">
        <f t="array" ref="P149">_xlfn.IFS(cleaned_data!AB149&gt;=50,1,cleaned_data!AB149&gt;=35,0.75,cleaned_data!AB149&gt;=20,0.5,TRUE,0.25)</f>
        <v>0.75</v>
      </c>
      <c r="Q149" cm="1">
        <f t="array" ref="Q149">_xlfn.IFS(cleaned_data!X149&gt;=5,1,cleaned_data!X149&gt;=3,0.75,cleaned_data!X149=2,0.5,cleaned_data!X149=1,0.25,TRUE,0)</f>
        <v>1</v>
      </c>
      <c r="R149">
        <f>IF(cleaned_data!Y149="Yes",1,0)</f>
        <v>0</v>
      </c>
      <c r="S149">
        <f>IF(OR(cleaned_data!AF149="GlobalG.A.P.",cleaned_data!AF149="Fairtrade",cleaned_data!AF149="Organic (CERES)"),1,
IF(OR(cleaned_data!AF149="SIZA",cleaned_data!AF149="Woolworths TNC",cleaned_data!AF149="Checkers Good Farming"),0.75,
IF(cleaned_data!AF149="No Certificate",0,
IF(cleaned_data!AF149="Unknown","",""))))</f>
        <v>0</v>
      </c>
      <c r="T149">
        <f>IF(cleaned_data!AG149="Yes",1,0)</f>
        <v>0</v>
      </c>
      <c r="U149">
        <f>IF(OR(cleaned_data!AD149="No Loan",cleaned_data!AD149="Settled",cleaned_data!AD149="Current"),1,
IF(cleaned_data!AD149="In Arrears",0.5,
IF(cleaned_data!AD149="Defaulted",0,
IF(cleaned_data!AD149="Unknown","",""))))</f>
        <v>1</v>
      </c>
      <c r="V149" cm="1">
        <f t="array" ref="V149">_xlfn.IFS(cleaned_data!AE149&lt;=0.2,1,
cleaned_data!AE149&lt;=0.5,0.75,
cleaned_data!AE149&lt;=1,0.5,
cleaned_data!AE149&gt;1,0.25)</f>
        <v>1</v>
      </c>
      <c r="W149">
        <f>IF(cleaned_data!AJ149="Yes",1,0)</f>
        <v>0</v>
      </c>
      <c r="X149" s="2" cm="1">
        <f t="array" ref="X149">_xlfn.IFS(cleaned_data!AM149="Yes", 1,
cleaned_data!AM149="No", 0,
cleaned_data!AM149="Unknown", "")</f>
        <v>1</v>
      </c>
      <c r="Y149" cm="1">
        <f t="array" ref="Y149">_xlfn.IFS(cleaned_data!AK149="Solar", 1,
cleaned_data!AK149="Generator", 0.75,
cleaned_data!AK149="Eskom grid", 0.5,
TRUE, "")</f>
        <v>0.5</v>
      </c>
      <c r="Z149" cm="1">
        <f t="array" ref="Z149">_xlfn.IFS(cleaned_data!AL149="", "",
cleaned_data!AL149&lt;=8, 1,
cleaned_data!AL149&lt;=14, 0.75,
cleaned_data!AL149&lt;=21, 0.5,
cleaned_data!AL149&gt;=22, 0.25)</f>
        <v>0.25</v>
      </c>
      <c r="AA149" cm="1">
        <f t="array" ref="AA149">_xlfn.IFS(cleaned_data!AH149=0, 1,
cleaned_data!AH149=1, 0.75,
cleaned_data!AH149=2, 0.5,
cleaned_data!AH149&gt;=3, 0.25)</f>
        <v>0.5</v>
      </c>
      <c r="AB149" cm="1">
        <f t="array" ref="AB149">_xlfn.IFS(cleaned_data!AO149="", "",
cleaned_data!AO149&gt;=50, 1,
cleaned_data!AO149&gt;=30, 0.75,
cleaned_data!AO149&gt;=10, 0.5,
cleaned_data!AO149&lt;10, 0.25)</f>
        <v>1</v>
      </c>
      <c r="AC149" cm="1">
        <f t="array" ref="AC149">_xlfn.IFS(cleaned_data!AP149&gt;=50,1, cleaned_data!AP149&gt;=30,0.75, cleaned_data!AP149&gt;=10,0.5, cleaned_data!AP149&lt;10,0.25)</f>
        <v>0.75</v>
      </c>
      <c r="AD149" cm="1">
        <f t="array" ref="AD149">_xlfn.IFS(cleaned_data!AQ149&gt;=30,1,
cleaned_data!AQ149&gt;=20,0.75,
cleaned_data!AQ149&gt;=10,0.5,
cleaned_data!AQ149&lt;10,0.25)</f>
        <v>1</v>
      </c>
      <c r="AE149" cm="1">
        <f t="array" ref="AE149">_xlfn.IFS(cleaned_data!AR149&gt;=75,1,
cleaned_data!AR149&gt;=50,0.75,
cleaned_data!AR149&gt;=25,0.5,
cleaned_data!AR149&lt;25,0.25)</f>
        <v>0.5</v>
      </c>
      <c r="AF149">
        <f>IF(cleaned_data!AS149="Yes",1,0)</f>
        <v>1</v>
      </c>
    </row>
    <row r="150" spans="1:32" hidden="1" x14ac:dyDescent="0.35">
      <c r="A150" t="s">
        <v>27</v>
      </c>
      <c r="B150" t="s">
        <v>26</v>
      </c>
      <c r="C150">
        <f>IF(cleaned_data!K150="Registered",1,0)</f>
        <v>1</v>
      </c>
      <c r="D150">
        <f>IF(cleaned_data!L150="Yes",1,0)</f>
        <v>1</v>
      </c>
      <c r="E150">
        <f>IF(cleaned_data!M150="Yes",1,0)</f>
        <v>1</v>
      </c>
      <c r="F150">
        <f>IF(cleaned_data!O150="Unknown","",IF(cleaned_data!O150="Yes",1,0))</f>
        <v>0</v>
      </c>
      <c r="G150" cm="1">
        <f t="array" ref="G150">_xlfn.IFS(cleaned_data!N150="Owned",1,cleaned_data!N150="Leased",0.75,cleaned_data!N150="State land",0.5,cleaned_data!N150="Communal",0.25)</f>
        <v>0.5</v>
      </c>
      <c r="H150" s="2" cm="1">
        <f t="array" ref="H150">_xlfn.IFS(cleaned_data!G150&gt;=10,1,cleaned_data!G150&gt;=5,0.75,cleaned_data!G150&gt;=2,0.5,TRUE,0.25)</f>
        <v>1</v>
      </c>
      <c r="I150">
        <f>IF(cleaned_data!P150="None",0,1)</f>
        <v>1</v>
      </c>
      <c r="J150" s="2" cm="1">
        <f t="array" ref="J150">_xlfn.IFS(cleaned_data!H150&gt;=20,1,cleaned_data!H150&gt;=10,0.75,cleaned_data!H150&gt;=5,0.5,cleaned_data!H150&gt;=1,0.25,TRUE,0)</f>
        <v>1</v>
      </c>
      <c r="K150" cm="1">
        <f t="array" ref="K150">_xlfn.IFS(cleaned_data!Q150&gt;=100000,1,cleaned_data!Q150&gt;=50000,0.75,cleaned_data!Q150&gt;=10000,0.5,TRUE,0.25)</f>
        <v>0.5</v>
      </c>
      <c r="L150" cm="1">
        <f t="array" ref="L150">_xlfn.IFS(cleaned_data!T150="","",cleaned_data!T150&lt;=10,1,cleaned_data!T150&lt;=25,0.75,cleaned_data!T150&lt;=40,0.5, cleaned_data!T150&gt;40,0.25)</f>
        <v>0.5</v>
      </c>
      <c r="M150">
        <f>IF(cleaned_data!U150="Yes",1,0)</f>
        <v>1</v>
      </c>
      <c r="N150" cm="1">
        <f t="array" ref="N150">_xlfn.IFS(cleaned_data!V150="Unknown","",cleaned_data!V150="Yes",1,TRUE,0)</f>
        <v>1</v>
      </c>
      <c r="O150" cm="1">
        <f t="array" ref="O150">_xlfn.IFS(cleaned_data!S150&gt;=4,1,cleaned_data!S150=3,0.75,cleaned_data!S150=2,0.5,cleaned_data!S150=1,0.25,TRUE,0)</f>
        <v>0.5</v>
      </c>
      <c r="P150" cm="1">
        <f t="array" ref="P150">_xlfn.IFS(cleaned_data!AB150&gt;=50,1,cleaned_data!AB150&gt;=35,0.75,cleaned_data!AB150&gt;=20,0.5,TRUE,0.25)</f>
        <v>0.75</v>
      </c>
      <c r="Q150" cm="1">
        <f t="array" ref="Q150">_xlfn.IFS(cleaned_data!X150&gt;=5,1,cleaned_data!X150&gt;=3,0.75,cleaned_data!X150=2,0.5,cleaned_data!X150=1,0.25,TRUE,0)</f>
        <v>1</v>
      </c>
      <c r="R150">
        <f>IF(cleaned_data!Y150="Yes",1,0)</f>
        <v>0</v>
      </c>
      <c r="S150">
        <f>IF(OR(cleaned_data!AF150="GlobalG.A.P.",cleaned_data!AF150="Fairtrade",cleaned_data!AF150="Organic (CERES)"),1,
IF(OR(cleaned_data!AF150="SIZA",cleaned_data!AF150="Woolworths TNC",cleaned_data!AF150="Checkers Good Farming"),0.75,
IF(cleaned_data!AF150="No Certificate",0,
IF(cleaned_data!AF150="Unknown","",""))))</f>
        <v>0</v>
      </c>
      <c r="T150">
        <f>IF(cleaned_data!AG150="Yes",1,0)</f>
        <v>0</v>
      </c>
      <c r="U150">
        <f>IF(OR(cleaned_data!AD150="No Loan",cleaned_data!AD150="Settled",cleaned_data!AD150="Current"),1,
IF(cleaned_data!AD150="In Arrears",0.5,
IF(cleaned_data!AD150="Defaulted",0,
IF(cleaned_data!AD150="Unknown","",""))))</f>
        <v>0.5</v>
      </c>
      <c r="V150" cm="1">
        <f t="array" ref="V150">_xlfn.IFS(cleaned_data!AE150&lt;=0.2,1,
cleaned_data!AE150&lt;=0.5,0.75,
cleaned_data!AE150&lt;=1,0.5,
cleaned_data!AE150&gt;1,0.25)</f>
        <v>1</v>
      </c>
      <c r="W150">
        <f>IF(cleaned_data!AJ150="Yes",1,0)</f>
        <v>1</v>
      </c>
      <c r="X150" s="2" cm="1">
        <f t="array" ref="X150">_xlfn.IFS(cleaned_data!AM150="Yes", 1,
cleaned_data!AM150="No", 0,
cleaned_data!AM150="Unknown", "")</f>
        <v>1</v>
      </c>
      <c r="Y150" cm="1">
        <f t="array" ref="Y150">_xlfn.IFS(cleaned_data!AK150="Solar", 1,
cleaned_data!AK150="Generator", 0.75,
cleaned_data!AK150="Eskom grid", 0.5,
TRUE, "")</f>
        <v>1</v>
      </c>
      <c r="Z150" cm="1">
        <f t="array" ref="Z150">_xlfn.IFS(cleaned_data!AL150="", "",
cleaned_data!AL150&lt;=8, 1,
cleaned_data!AL150&lt;=14, 0.75,
cleaned_data!AL150&lt;=21, 0.5,
cleaned_data!AL150&gt;=22, 0.25)</f>
        <v>1</v>
      </c>
      <c r="AA150" cm="1">
        <f t="array" ref="AA150">_xlfn.IFS(cleaned_data!AH150=0, 1,
cleaned_data!AH150=1, 0.75,
cleaned_data!AH150=2, 0.5,
cleaned_data!AH150&gt;=3, 0.25)</f>
        <v>0.5</v>
      </c>
      <c r="AB150" cm="1">
        <f t="array" ref="AB150">_xlfn.IFS(cleaned_data!AO150="", "",
cleaned_data!AO150&gt;=50, 1,
cleaned_data!AO150&gt;=30, 0.75,
cleaned_data!AO150&gt;=10, 0.5,
cleaned_data!AO150&lt;10, 0.25)</f>
        <v>0.75</v>
      </c>
      <c r="AC150" cm="1">
        <f t="array" ref="AC150">_xlfn.IFS(cleaned_data!AP150&gt;=50,1, cleaned_data!AP150&gt;=30,0.75, cleaned_data!AP150&gt;=10,0.5, cleaned_data!AP150&lt;10,0.25)</f>
        <v>0.75</v>
      </c>
      <c r="AD150" cm="1">
        <f t="array" ref="AD150">_xlfn.IFS(cleaned_data!AQ150&gt;=30,1,
cleaned_data!AQ150&gt;=20,0.75,
cleaned_data!AQ150&gt;=10,0.5,
cleaned_data!AQ150&lt;10,0.25)</f>
        <v>1</v>
      </c>
      <c r="AE150" cm="1">
        <f t="array" ref="AE150">_xlfn.IFS(cleaned_data!AR150&gt;=75,1,
cleaned_data!AR150&gt;=50,0.75,
cleaned_data!AR150&gt;=25,0.5,
cleaned_data!AR150&lt;25,0.25)</f>
        <v>0.5</v>
      </c>
      <c r="AF150">
        <f>IF(cleaned_data!AS150="Yes",1,0)</f>
        <v>1</v>
      </c>
    </row>
    <row r="151" spans="1:32" hidden="1" x14ac:dyDescent="0.35">
      <c r="A151" t="s">
        <v>17</v>
      </c>
      <c r="B151" t="s">
        <v>16</v>
      </c>
      <c r="C151">
        <f>IF(cleaned_data!K151="Registered",1,0)</f>
        <v>0</v>
      </c>
      <c r="D151">
        <f>IF(cleaned_data!L151="Yes",1,0)</f>
        <v>0</v>
      </c>
      <c r="E151">
        <f>IF(cleaned_data!M151="Yes",1,0)</f>
        <v>1</v>
      </c>
      <c r="F151" t="str">
        <f>IF(cleaned_data!O151="Unknown","",IF(cleaned_data!O151="Yes",1,0))</f>
        <v/>
      </c>
      <c r="G151" cm="1">
        <f t="array" ref="G151">_xlfn.IFS(cleaned_data!N151="Owned",1,cleaned_data!N151="Leased",0.75,cleaned_data!N151="State land",0.5,cleaned_data!N151="Communal",0.25)</f>
        <v>0.75</v>
      </c>
      <c r="H151" s="2" cm="1">
        <f t="array" ref="H151">_xlfn.IFS(cleaned_data!G151&gt;=10,1,cleaned_data!G151&gt;=5,0.75,cleaned_data!G151&gt;=2,0.5,TRUE,0.25)</f>
        <v>0.75</v>
      </c>
      <c r="I151">
        <f>IF(cleaned_data!P151="None",0,1)</f>
        <v>1</v>
      </c>
      <c r="J151" s="2" cm="1">
        <f t="array" ref="J151">_xlfn.IFS(cleaned_data!H151&gt;=20,1,cleaned_data!H151&gt;=10,0.75,cleaned_data!H151&gt;=5,0.5,cleaned_data!H151&gt;=1,0.25,TRUE,0)</f>
        <v>1</v>
      </c>
      <c r="K151" cm="1">
        <f t="array" ref="K151">_xlfn.IFS(cleaned_data!Q151&gt;=100000,1,cleaned_data!Q151&gt;=50000,0.75,cleaned_data!Q151&gt;=10000,0.5,TRUE,0.25)</f>
        <v>0.75</v>
      </c>
      <c r="L151" cm="1">
        <f t="array" ref="L151">_xlfn.IFS(cleaned_data!T151="","",cleaned_data!T151&lt;=10,1,cleaned_data!T151&lt;=25,0.75,cleaned_data!T151&lt;=40,0.5, cleaned_data!T151&gt;40,0.25)</f>
        <v>0.75</v>
      </c>
      <c r="M151">
        <f>IF(cleaned_data!U151="Yes",1,0)</f>
        <v>1</v>
      </c>
      <c r="N151" cm="1">
        <f t="array" ref="N151">_xlfn.IFS(cleaned_data!V151="Unknown","",cleaned_data!V151="Yes",1,TRUE,0)</f>
        <v>0</v>
      </c>
      <c r="O151" cm="1">
        <f t="array" ref="O151">_xlfn.IFS(cleaned_data!S151&gt;=4,1,cleaned_data!S151=3,0.75,cleaned_data!S151=2,0.5,cleaned_data!S151=1,0.25,TRUE,0)</f>
        <v>0.75</v>
      </c>
      <c r="P151" cm="1">
        <f t="array" ref="P151">_xlfn.IFS(cleaned_data!AB151&gt;=50,1,cleaned_data!AB151&gt;=35,0.75,cleaned_data!AB151&gt;=20,0.5,TRUE,0.25)</f>
        <v>0.5</v>
      </c>
      <c r="Q151" cm="1">
        <f t="array" ref="Q151">_xlfn.IFS(cleaned_data!X151&gt;=5,1,cleaned_data!X151&gt;=3,0.75,cleaned_data!X151=2,0.5,cleaned_data!X151=1,0.25,TRUE,0)</f>
        <v>0.75</v>
      </c>
      <c r="R151">
        <f>IF(cleaned_data!Y151="Yes",1,0)</f>
        <v>1</v>
      </c>
      <c r="S151">
        <f>IF(OR(cleaned_data!AF151="GlobalG.A.P.",cleaned_data!AF151="Fairtrade",cleaned_data!AF151="Organic (CERES)"),1,
IF(OR(cleaned_data!AF151="SIZA",cleaned_data!AF151="Woolworths TNC",cleaned_data!AF151="Checkers Good Farming"),0.75,
IF(cleaned_data!AF151="No Certificate",0,
IF(cleaned_data!AF151="Unknown","",""))))</f>
        <v>0</v>
      </c>
      <c r="T151">
        <f>IF(cleaned_data!AG151="Yes",1,0)</f>
        <v>0</v>
      </c>
      <c r="U151">
        <f>IF(OR(cleaned_data!AD151="No Loan",cleaned_data!AD151="Settled",cleaned_data!AD151="Current"),1,
IF(cleaned_data!AD151="In Arrears",0.5,
IF(cleaned_data!AD151="Defaulted",0,
IF(cleaned_data!AD151="Unknown","",""))))</f>
        <v>0</v>
      </c>
      <c r="V151" cm="1">
        <f t="array" ref="V151">_xlfn.IFS(cleaned_data!AE151&lt;=0.2,1,
cleaned_data!AE151&lt;=0.5,0.75,
cleaned_data!AE151&lt;=1,0.5,
cleaned_data!AE151&gt;1,0.25)</f>
        <v>1</v>
      </c>
      <c r="W151">
        <f>IF(cleaned_data!AJ151="Yes",1,0)</f>
        <v>1</v>
      </c>
      <c r="X151" s="2" cm="1">
        <f t="array" ref="X151">_xlfn.IFS(cleaned_data!AM151="Yes", 1,
cleaned_data!AM151="No", 0,
cleaned_data!AM151="Unknown", "")</f>
        <v>0</v>
      </c>
      <c r="Y151" cm="1">
        <f t="array" ref="Y151">_xlfn.IFS(cleaned_data!AK151="Solar", 1,
cleaned_data!AK151="Generator", 0.75,
cleaned_data!AK151="Eskom grid", 0.5,
TRUE, "")</f>
        <v>0.5</v>
      </c>
      <c r="Z151" cm="1">
        <f t="array" ref="Z151">_xlfn.IFS(cleaned_data!AL151="", "",
cleaned_data!AL151&lt;=8, 1,
cleaned_data!AL151&lt;=14, 0.75,
cleaned_data!AL151&lt;=21, 0.5,
cleaned_data!AL151&gt;=22, 0.25)</f>
        <v>0.5</v>
      </c>
      <c r="AA151" cm="1">
        <f t="array" ref="AA151">_xlfn.IFS(cleaned_data!AH151=0, 1,
cleaned_data!AH151=1, 0.75,
cleaned_data!AH151=2, 0.5,
cleaned_data!AH151&gt;=3, 0.25)</f>
        <v>0.5</v>
      </c>
      <c r="AB151" cm="1">
        <f t="array" ref="AB151">_xlfn.IFS(cleaned_data!AO151="", "",
cleaned_data!AO151&gt;=50, 1,
cleaned_data!AO151&gt;=30, 0.75,
cleaned_data!AO151&gt;=10, 0.5,
cleaned_data!AO151&lt;10, 0.25)</f>
        <v>0.75</v>
      </c>
      <c r="AC151" cm="1">
        <f t="array" ref="AC151">_xlfn.IFS(cleaned_data!AP151&gt;=50,1, cleaned_data!AP151&gt;=30,0.75, cleaned_data!AP151&gt;=10,0.5, cleaned_data!AP151&lt;10,0.25)</f>
        <v>0.75</v>
      </c>
      <c r="AD151" cm="1">
        <f t="array" ref="AD151">_xlfn.IFS(cleaned_data!AQ151&gt;=30,1,
cleaned_data!AQ151&gt;=20,0.75,
cleaned_data!AQ151&gt;=10,0.5,
cleaned_data!AQ151&lt;10,0.25)</f>
        <v>1</v>
      </c>
      <c r="AE151" cm="1">
        <f t="array" ref="AE151">_xlfn.IFS(cleaned_data!AR151&gt;=75,1,
cleaned_data!AR151&gt;=50,0.75,
cleaned_data!AR151&gt;=25,0.5,
cleaned_data!AR151&lt;25,0.25)</f>
        <v>1</v>
      </c>
      <c r="AF151">
        <f>IF(cleaned_data!AS151="Yes",1,0)</f>
        <v>0</v>
      </c>
    </row>
  </sheetData>
  <autoFilter ref="A1:AF151" xr:uid="{E6F3C957-A9EC-4916-A10C-9181BB48C022}">
    <filterColumn colId="27">
      <filters>
        <filter val="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E9BA-D9DD-4640-98ED-69EE4DD7EC1F}">
  <dimension ref="A1:G151"/>
  <sheetViews>
    <sheetView topLeftCell="C1" workbookViewId="0">
      <selection activeCell="E5" sqref="E5"/>
    </sheetView>
  </sheetViews>
  <sheetFormatPr defaultRowHeight="14.5" x14ac:dyDescent="0.35"/>
  <cols>
    <col min="2" max="2" width="17.6328125" customWidth="1"/>
    <col min="3" max="3" width="18.26953125" customWidth="1"/>
    <col min="4" max="4" width="17.36328125" customWidth="1"/>
    <col min="5" max="5" width="23.08984375" customWidth="1"/>
    <col min="6" max="6" width="22.54296875" customWidth="1"/>
    <col min="7" max="7" width="31.1796875" customWidth="1"/>
  </cols>
  <sheetData>
    <row r="1" spans="1:7" x14ac:dyDescent="0.35">
      <c r="A1" t="s">
        <v>427</v>
      </c>
      <c r="B1" t="s">
        <v>426</v>
      </c>
      <c r="C1" t="s">
        <v>428</v>
      </c>
      <c r="D1" s="3" t="s">
        <v>429</v>
      </c>
      <c r="E1" t="s">
        <v>430</v>
      </c>
      <c r="F1" t="s">
        <v>431</v>
      </c>
      <c r="G1" t="s">
        <v>432</v>
      </c>
    </row>
    <row r="2" spans="1:7" x14ac:dyDescent="0.35">
      <c r="A2" t="s">
        <v>382</v>
      </c>
      <c r="B2" t="s">
        <v>381</v>
      </c>
      <c r="C2">
        <f>AVERAGE(Score_Calculations!C2:J2)*20</f>
        <v>20</v>
      </c>
      <c r="D2">
        <f>AVERAGE(Score_Calculations!K2:O2)*20</f>
        <v>20</v>
      </c>
      <c r="E2">
        <f>AVERAGE(Score_Calculations!P2:V2)*30</f>
        <v>27.857142857142858</v>
      </c>
      <c r="F2">
        <f>AVERAGE(Score_Calculations!W2:AA2)*15</f>
        <v>10.5</v>
      </c>
      <c r="G2">
        <f>AVERAGE(Score_Calculations!AB2:AF2)*15</f>
        <v>7.5</v>
      </c>
    </row>
    <row r="3" spans="1:7" x14ac:dyDescent="0.35">
      <c r="A3" t="s">
        <v>380</v>
      </c>
      <c r="B3" t="s">
        <v>379</v>
      </c>
      <c r="C3">
        <f>AVERAGE(Score_Calculations!C3:J3)*20</f>
        <v>18.75</v>
      </c>
      <c r="D3">
        <f>AVERAGE(Score_Calculations!K3:O3)*20</f>
        <v>19</v>
      </c>
      <c r="E3">
        <f>AVERAGE(Score_Calculations!P3:V3)*30</f>
        <v>25</v>
      </c>
      <c r="F3">
        <f>AVERAGE(Score_Calculations!W3:AA3)*15</f>
        <v>12</v>
      </c>
      <c r="G3">
        <f>AVERAGE(Score_Calculations!AB3:AF3)*15</f>
        <v>10.5</v>
      </c>
    </row>
    <row r="4" spans="1:7" x14ac:dyDescent="0.35">
      <c r="A4" t="s">
        <v>378</v>
      </c>
      <c r="B4" t="s">
        <v>377</v>
      </c>
      <c r="C4">
        <f>AVERAGE(Score_Calculations!C4:J4)*20</f>
        <v>16.25</v>
      </c>
      <c r="D4">
        <f>AVERAGE(Score_Calculations!K4:O4)*20</f>
        <v>17</v>
      </c>
      <c r="E4">
        <f>AVERAGE(Score_Calculations!P4:V4)*30</f>
        <v>27.857142857142858</v>
      </c>
      <c r="F4">
        <f>AVERAGE(Score_Calculations!W4:AA4)*15</f>
        <v>15</v>
      </c>
      <c r="G4">
        <f>AVERAGE(Score_Calculations!AB4:AF4)*15</f>
        <v>9.75</v>
      </c>
    </row>
    <row r="5" spans="1:7" x14ac:dyDescent="0.35">
      <c r="A5" t="s">
        <v>376</v>
      </c>
      <c r="B5" t="s">
        <v>127</v>
      </c>
      <c r="C5">
        <f>AVERAGE(Score_Calculations!C5:J5)*20</f>
        <v>20</v>
      </c>
      <c r="D5">
        <f>AVERAGE(Score_Calculations!K5:O5)*20</f>
        <v>18.75</v>
      </c>
      <c r="E5">
        <f>AVERAGE(Score_Calculations!P5:V5)*30</f>
        <v>26.785714285714288</v>
      </c>
      <c r="F5">
        <f>AVERAGE(Score_Calculations!W5:AA5)*15</f>
        <v>6</v>
      </c>
      <c r="G5">
        <f>AVERAGE(Score_Calculations!AB5:AF5)*15</f>
        <v>10.5</v>
      </c>
    </row>
    <row r="6" spans="1:7" x14ac:dyDescent="0.35">
      <c r="A6" t="s">
        <v>374</v>
      </c>
      <c r="B6" t="s">
        <v>342</v>
      </c>
      <c r="C6">
        <f>AVERAGE(Score_Calculations!C6:J6)*20</f>
        <v>19.375</v>
      </c>
      <c r="D6">
        <f>AVERAGE(Score_Calculations!K6:O6)*20</f>
        <v>16</v>
      </c>
      <c r="E6">
        <f>AVERAGE(Score_Calculations!P6:V6)*30</f>
        <v>24.642857142857142</v>
      </c>
      <c r="F6">
        <f>AVERAGE(Score_Calculations!W6:AA6)*15</f>
        <v>11.25</v>
      </c>
      <c r="G6">
        <f>AVERAGE(Score_Calculations!AB6:AF6)*15</f>
        <v>10.5</v>
      </c>
    </row>
    <row r="7" spans="1:7" x14ac:dyDescent="0.35">
      <c r="A7" t="s">
        <v>373</v>
      </c>
      <c r="B7" t="s">
        <v>36</v>
      </c>
      <c r="C7">
        <f>AVERAGE(Score_Calculations!C7:J7)*20</f>
        <v>11.25</v>
      </c>
      <c r="D7">
        <f>AVERAGE(Score_Calculations!K7:O7)*20</f>
        <v>9</v>
      </c>
      <c r="E7">
        <f>AVERAGE(Score_Calculations!P7:V7)*30</f>
        <v>27.857142857142858</v>
      </c>
      <c r="F7">
        <f>AVERAGE(Score_Calculations!W7:AA7)*15</f>
        <v>12.75</v>
      </c>
      <c r="G7">
        <f>AVERAGE(Score_Calculations!AB7:AF7)*15</f>
        <v>12</v>
      </c>
    </row>
    <row r="8" spans="1:7" x14ac:dyDescent="0.35">
      <c r="A8" t="s">
        <v>372</v>
      </c>
      <c r="B8" t="s">
        <v>371</v>
      </c>
      <c r="C8">
        <f>AVERAGE(Score_Calculations!C8:J8)*20</f>
        <v>19.285714285714285</v>
      </c>
      <c r="D8">
        <f>AVERAGE(Score_Calculations!K8:O8)*20</f>
        <v>11</v>
      </c>
      <c r="E8">
        <f>AVERAGE(Score_Calculations!P8:V8)*30</f>
        <v>24.642857142857142</v>
      </c>
      <c r="F8">
        <f>AVERAGE(Score_Calculations!W8:AA8)*15</f>
        <v>9.75</v>
      </c>
      <c r="G8">
        <f>AVERAGE(Score_Calculations!AB8:AF8)*15</f>
        <v>9.75</v>
      </c>
    </row>
    <row r="9" spans="1:7" x14ac:dyDescent="0.35">
      <c r="A9" t="s">
        <v>370</v>
      </c>
      <c r="B9" t="s">
        <v>369</v>
      </c>
      <c r="C9">
        <f>AVERAGE(Score_Calculations!C9:J9)*20</f>
        <v>19.375</v>
      </c>
      <c r="D9">
        <f>AVERAGE(Score_Calculations!K9:O9)*20</f>
        <v>17</v>
      </c>
      <c r="E9">
        <f>AVERAGE(Score_Calculations!P9:V9)*30</f>
        <v>25.714285714285712</v>
      </c>
      <c r="F9">
        <f>AVERAGE(Score_Calculations!W9:AA9)*15</f>
        <v>11.25</v>
      </c>
      <c r="G9">
        <f>AVERAGE(Score_Calculations!AB9:AF9)*15</f>
        <v>12</v>
      </c>
    </row>
    <row r="10" spans="1:7" x14ac:dyDescent="0.35">
      <c r="A10" t="s">
        <v>368</v>
      </c>
      <c r="B10" t="s">
        <v>323</v>
      </c>
      <c r="C10">
        <f>AVERAGE(Score_Calculations!C10:J10)*20</f>
        <v>15.625</v>
      </c>
      <c r="D10">
        <f>AVERAGE(Score_Calculations!K10:O10)*20</f>
        <v>18</v>
      </c>
      <c r="E10">
        <f>AVERAGE(Score_Calculations!P10:V10)*30</f>
        <v>23.571428571428569</v>
      </c>
      <c r="F10">
        <f>AVERAGE(Score_Calculations!W10:AA10)*15</f>
        <v>11.25</v>
      </c>
      <c r="G10">
        <f>AVERAGE(Score_Calculations!AB10:AF10)*15</f>
        <v>9.75</v>
      </c>
    </row>
    <row r="11" spans="1:7" x14ac:dyDescent="0.35">
      <c r="A11" t="s">
        <v>367</v>
      </c>
      <c r="B11" t="s">
        <v>366</v>
      </c>
      <c r="C11">
        <f>AVERAGE(Score_Calculations!C11:J11)*20</f>
        <v>17.5</v>
      </c>
      <c r="D11">
        <f>AVERAGE(Score_Calculations!K11:O11)*20</f>
        <v>17</v>
      </c>
      <c r="E11">
        <f>AVERAGE(Score_Calculations!P11:V11)*30</f>
        <v>20.357142857142858</v>
      </c>
      <c r="F11">
        <f>AVERAGE(Score_Calculations!W11:AA11)*15</f>
        <v>14.25</v>
      </c>
      <c r="G11">
        <f>AVERAGE(Score_Calculations!AB11:AF11)*15</f>
        <v>9.75</v>
      </c>
    </row>
    <row r="12" spans="1:7" x14ac:dyDescent="0.35">
      <c r="A12" t="s">
        <v>365</v>
      </c>
      <c r="B12" t="s">
        <v>364</v>
      </c>
      <c r="C12">
        <f>AVERAGE(Score_Calculations!C12:J12)*20</f>
        <v>20</v>
      </c>
      <c r="D12">
        <f>AVERAGE(Score_Calculations!K12:O12)*20</f>
        <v>17</v>
      </c>
      <c r="E12">
        <f>AVERAGE(Score_Calculations!P12:V12)*30</f>
        <v>17.142857142857142</v>
      </c>
      <c r="F12">
        <f>AVERAGE(Score_Calculations!W12:AA12)*15</f>
        <v>15</v>
      </c>
      <c r="G12">
        <f>AVERAGE(Score_Calculations!AB12:AF12)*15</f>
        <v>8.25</v>
      </c>
    </row>
    <row r="13" spans="1:7" x14ac:dyDescent="0.35">
      <c r="A13" t="s">
        <v>363</v>
      </c>
      <c r="B13" t="s">
        <v>342</v>
      </c>
      <c r="C13">
        <f>AVERAGE(Score_Calculations!C13:J13)*20</f>
        <v>20</v>
      </c>
      <c r="D13">
        <f>AVERAGE(Score_Calculations!K13:O13)*20</f>
        <v>15</v>
      </c>
      <c r="E13">
        <f>AVERAGE(Score_Calculations!P13:V13)*30</f>
        <v>24.642857142857142</v>
      </c>
      <c r="F13">
        <f>AVERAGE(Score_Calculations!W13:AA13)*15</f>
        <v>10.5</v>
      </c>
      <c r="G13">
        <f>AVERAGE(Score_Calculations!AB13:AF13)*15</f>
        <v>11.25</v>
      </c>
    </row>
    <row r="14" spans="1:7" x14ac:dyDescent="0.35">
      <c r="A14" t="s">
        <v>362</v>
      </c>
      <c r="B14" t="s">
        <v>361</v>
      </c>
      <c r="C14">
        <f>AVERAGE(Score_Calculations!C14:J14)*20</f>
        <v>17.5</v>
      </c>
      <c r="D14">
        <f>AVERAGE(Score_Calculations!K14:O14)*20</f>
        <v>11</v>
      </c>
      <c r="E14">
        <f>AVERAGE(Score_Calculations!P14:V14)*30</f>
        <v>24.642857142857142</v>
      </c>
      <c r="F14">
        <f>AVERAGE(Score_Calculations!W14:AA14)*15</f>
        <v>9.75</v>
      </c>
      <c r="G14">
        <f>AVERAGE(Score_Calculations!AB14:AF14)*15</f>
        <v>10.5</v>
      </c>
    </row>
    <row r="15" spans="1:7" x14ac:dyDescent="0.35">
      <c r="A15" t="s">
        <v>360</v>
      </c>
      <c r="B15" t="s">
        <v>359</v>
      </c>
      <c r="C15">
        <f>AVERAGE(Score_Calculations!C15:J15)*20</f>
        <v>16.875</v>
      </c>
      <c r="D15">
        <f>AVERAGE(Score_Calculations!K15:O15)*20</f>
        <v>15</v>
      </c>
      <c r="E15">
        <f>AVERAGE(Score_Calculations!P15:V15)*30</f>
        <v>24.642857142857142</v>
      </c>
      <c r="F15">
        <f>AVERAGE(Score_Calculations!W15:AA15)*15</f>
        <v>7.5</v>
      </c>
      <c r="G15">
        <f>AVERAGE(Score_Calculations!AB15:AF15)*15</f>
        <v>8.25</v>
      </c>
    </row>
    <row r="16" spans="1:7" x14ac:dyDescent="0.35">
      <c r="A16" t="s">
        <v>358</v>
      </c>
      <c r="B16" t="s">
        <v>357</v>
      </c>
      <c r="C16">
        <f>AVERAGE(Score_Calculations!C16:J16)*20</f>
        <v>17.5</v>
      </c>
      <c r="D16">
        <f>AVERAGE(Score_Calculations!K16:O16)*20</f>
        <v>15</v>
      </c>
      <c r="E16">
        <f>AVERAGE(Score_Calculations!P16:V16)*30</f>
        <v>26.785714285714288</v>
      </c>
      <c r="F16">
        <f>AVERAGE(Score_Calculations!W16:AA16)*15</f>
        <v>9.75</v>
      </c>
      <c r="G16">
        <f>AVERAGE(Score_Calculations!AB16:AF16)*15</f>
        <v>9</v>
      </c>
    </row>
    <row r="17" spans="1:7" x14ac:dyDescent="0.35">
      <c r="A17" t="s">
        <v>356</v>
      </c>
      <c r="B17" t="s">
        <v>355</v>
      </c>
      <c r="C17">
        <f>AVERAGE(Score_Calculations!C17:J17)*20</f>
        <v>19.375</v>
      </c>
      <c r="D17">
        <f>AVERAGE(Score_Calculations!K17:O17)*20</f>
        <v>19</v>
      </c>
      <c r="E17">
        <f>AVERAGE(Score_Calculations!P17:V17)*30</f>
        <v>20.357142857142858</v>
      </c>
      <c r="F17">
        <f>AVERAGE(Score_Calculations!W17:AA17)*15</f>
        <v>9.75</v>
      </c>
      <c r="G17">
        <f>AVERAGE(Score_Calculations!AB17:AF17)*15</f>
        <v>10.5</v>
      </c>
    </row>
    <row r="18" spans="1:7" x14ac:dyDescent="0.35">
      <c r="A18" t="s">
        <v>354</v>
      </c>
      <c r="B18" t="s">
        <v>353</v>
      </c>
      <c r="C18">
        <f>AVERAGE(Score_Calculations!C18:J18)*20</f>
        <v>17.5</v>
      </c>
      <c r="D18">
        <f>AVERAGE(Score_Calculations!K18:O18)*20</f>
        <v>20</v>
      </c>
      <c r="E18">
        <f>AVERAGE(Score_Calculations!P18:V18)*30</f>
        <v>30</v>
      </c>
      <c r="F18">
        <f>AVERAGE(Score_Calculations!W18:AA18)*15</f>
        <v>10.5</v>
      </c>
      <c r="G18">
        <f>AVERAGE(Score_Calculations!AB18:AF18)*15</f>
        <v>12</v>
      </c>
    </row>
    <row r="19" spans="1:7" x14ac:dyDescent="0.35">
      <c r="A19" t="s">
        <v>352</v>
      </c>
      <c r="B19" t="s">
        <v>351</v>
      </c>
      <c r="C19">
        <f>AVERAGE(Score_Calculations!C19:J19)*20</f>
        <v>15</v>
      </c>
      <c r="D19">
        <f>AVERAGE(Score_Calculations!K19:O19)*20</f>
        <v>17</v>
      </c>
      <c r="E19">
        <f>AVERAGE(Score_Calculations!P19:V19)*30</f>
        <v>30</v>
      </c>
      <c r="F19">
        <f>AVERAGE(Score_Calculations!W19:AA19)*15</f>
        <v>13.5</v>
      </c>
      <c r="G19">
        <f>AVERAGE(Score_Calculations!AB19:AF19)*15</f>
        <v>12</v>
      </c>
    </row>
    <row r="20" spans="1:7" x14ac:dyDescent="0.35">
      <c r="A20" t="s">
        <v>350</v>
      </c>
      <c r="B20" t="s">
        <v>349</v>
      </c>
      <c r="C20">
        <f>AVERAGE(Score_Calculations!C20:J20)*20</f>
        <v>16.25</v>
      </c>
      <c r="D20">
        <f>AVERAGE(Score_Calculations!K20:O20)*20</f>
        <v>9</v>
      </c>
      <c r="E20">
        <f>AVERAGE(Score_Calculations!P20:V20)*30</f>
        <v>24.642857142857142</v>
      </c>
      <c r="F20">
        <f>AVERAGE(Score_Calculations!W20:AA20)*15</f>
        <v>15</v>
      </c>
      <c r="G20">
        <f>AVERAGE(Score_Calculations!AB20:AF20)*15</f>
        <v>10.5</v>
      </c>
    </row>
    <row r="21" spans="1:7" x14ac:dyDescent="0.35">
      <c r="A21" t="s">
        <v>348</v>
      </c>
      <c r="B21" t="s">
        <v>347</v>
      </c>
      <c r="C21">
        <f>AVERAGE(Score_Calculations!C21:J21)*20</f>
        <v>17.5</v>
      </c>
      <c r="D21">
        <f>AVERAGE(Score_Calculations!K21:O21)*20</f>
        <v>19</v>
      </c>
      <c r="E21">
        <f>AVERAGE(Score_Calculations!P21:V21)*30</f>
        <v>24.642857142857142</v>
      </c>
      <c r="F21">
        <f>AVERAGE(Score_Calculations!W21:AA21)*15</f>
        <v>10.5</v>
      </c>
      <c r="G21">
        <f>AVERAGE(Score_Calculations!AB21:AF21)*15</f>
        <v>9</v>
      </c>
    </row>
    <row r="22" spans="1:7" x14ac:dyDescent="0.35">
      <c r="A22" t="s">
        <v>346</v>
      </c>
      <c r="B22" t="s">
        <v>307</v>
      </c>
      <c r="C22">
        <f>AVERAGE(Score_Calculations!C22:J22)*20</f>
        <v>16.875</v>
      </c>
      <c r="D22">
        <f>AVERAGE(Score_Calculations!K22:O22)*20</f>
        <v>19</v>
      </c>
      <c r="E22">
        <f>AVERAGE(Score_Calculations!P22:V22)*30</f>
        <v>27.857142857142858</v>
      </c>
      <c r="F22">
        <f>AVERAGE(Score_Calculations!W22:AA22)*15</f>
        <v>12.75</v>
      </c>
      <c r="G22">
        <f>AVERAGE(Score_Calculations!AB22:AF22)*15</f>
        <v>11.25</v>
      </c>
    </row>
    <row r="23" spans="1:7" x14ac:dyDescent="0.35">
      <c r="A23" t="s">
        <v>343</v>
      </c>
      <c r="B23" t="s">
        <v>342</v>
      </c>
      <c r="C23">
        <f>AVERAGE(Score_Calculations!C23:J23)*20</f>
        <v>16.875</v>
      </c>
      <c r="D23">
        <f>AVERAGE(Score_Calculations!K23:O23)*20</f>
        <v>16</v>
      </c>
      <c r="E23">
        <f>AVERAGE(Score_Calculations!P23:V23)*30</f>
        <v>23.571428571428569</v>
      </c>
      <c r="F23">
        <f>AVERAGE(Score_Calculations!W23:AA23)*15</f>
        <v>9.75</v>
      </c>
      <c r="G23">
        <f>AVERAGE(Score_Calculations!AB23:AF23)*15</f>
        <v>8.25</v>
      </c>
    </row>
    <row r="24" spans="1:7" x14ac:dyDescent="0.35">
      <c r="A24" t="s">
        <v>340</v>
      </c>
      <c r="B24" t="s">
        <v>339</v>
      </c>
      <c r="C24">
        <f>AVERAGE(Score_Calculations!C24:J24)*20</f>
        <v>20</v>
      </c>
      <c r="D24">
        <f>AVERAGE(Score_Calculations!K24:O24)*20</f>
        <v>19</v>
      </c>
      <c r="E24">
        <f>AVERAGE(Score_Calculations!P24:V24)*30</f>
        <v>23.75</v>
      </c>
      <c r="F24">
        <f>AVERAGE(Score_Calculations!W24:AA24)*15</f>
        <v>5.625</v>
      </c>
      <c r="G24">
        <f>AVERAGE(Score_Calculations!AB24:AF24)*15</f>
        <v>12.75</v>
      </c>
    </row>
    <row r="25" spans="1:7" x14ac:dyDescent="0.35">
      <c r="A25" t="s">
        <v>336</v>
      </c>
      <c r="B25" t="s">
        <v>335</v>
      </c>
      <c r="C25">
        <f>AVERAGE(Score_Calculations!C25:J25)*20</f>
        <v>13.75</v>
      </c>
      <c r="D25">
        <f>AVERAGE(Score_Calculations!K25:O25)*20</f>
        <v>14</v>
      </c>
      <c r="E25">
        <f>AVERAGE(Score_Calculations!P25:V25)*30</f>
        <v>24.642857142857142</v>
      </c>
      <c r="F25">
        <f>AVERAGE(Score_Calculations!W25:AA25)*15</f>
        <v>15</v>
      </c>
      <c r="G25">
        <f>AVERAGE(Score_Calculations!AB25:AF25)*15</f>
        <v>11.25</v>
      </c>
    </row>
    <row r="26" spans="1:7" x14ac:dyDescent="0.35">
      <c r="A26" t="s">
        <v>333</v>
      </c>
      <c r="B26" t="s">
        <v>332</v>
      </c>
      <c r="C26">
        <f>AVERAGE(Score_Calculations!C26:J26)*20</f>
        <v>12.5</v>
      </c>
      <c r="D26">
        <f>AVERAGE(Score_Calculations!K26:O26)*20</f>
        <v>20</v>
      </c>
      <c r="E26">
        <f>AVERAGE(Score_Calculations!P26:V26)*30</f>
        <v>25.714285714285712</v>
      </c>
      <c r="F26">
        <f>AVERAGE(Score_Calculations!W26:AA26)*15</f>
        <v>12</v>
      </c>
      <c r="G26">
        <f>AVERAGE(Score_Calculations!AB26:AF26)*15</f>
        <v>7.5</v>
      </c>
    </row>
    <row r="27" spans="1:7" x14ac:dyDescent="0.35">
      <c r="A27" t="s">
        <v>328</v>
      </c>
      <c r="B27" t="s">
        <v>327</v>
      </c>
      <c r="C27">
        <f>AVERAGE(Score_Calculations!C27:J27)*20</f>
        <v>17.5</v>
      </c>
      <c r="D27">
        <f>AVERAGE(Score_Calculations!K27:O27)*20</f>
        <v>11</v>
      </c>
      <c r="E27">
        <f>AVERAGE(Score_Calculations!P27:V27)*30</f>
        <v>27.857142857142858</v>
      </c>
      <c r="F27">
        <f>AVERAGE(Score_Calculations!W27:AA27)*15</f>
        <v>13.5</v>
      </c>
      <c r="G27">
        <f>AVERAGE(Score_Calculations!AB27:AF27)*15</f>
        <v>12</v>
      </c>
    </row>
    <row r="28" spans="1:7" x14ac:dyDescent="0.35">
      <c r="A28" t="s">
        <v>326</v>
      </c>
      <c r="B28" t="s">
        <v>325</v>
      </c>
      <c r="C28">
        <f>AVERAGE(Score_Calculations!C28:J28)*20</f>
        <v>14.375</v>
      </c>
      <c r="D28">
        <f>AVERAGE(Score_Calculations!K28:O28)*20</f>
        <v>17</v>
      </c>
      <c r="E28">
        <f>AVERAGE(Score_Calculations!P28:V28)*30</f>
        <v>24.642857142857142</v>
      </c>
      <c r="F28">
        <f>AVERAGE(Score_Calculations!W28:AA28)*15</f>
        <v>11.25</v>
      </c>
      <c r="G28">
        <f>AVERAGE(Score_Calculations!AB28:AF28)*15</f>
        <v>8.25</v>
      </c>
    </row>
    <row r="29" spans="1:7" x14ac:dyDescent="0.35">
      <c r="A29" t="s">
        <v>324</v>
      </c>
      <c r="B29" t="s">
        <v>323</v>
      </c>
      <c r="C29">
        <f>AVERAGE(Score_Calculations!C29:J29)*20</f>
        <v>20</v>
      </c>
      <c r="D29">
        <f>AVERAGE(Score_Calculations!K29:O29)*20</f>
        <v>16</v>
      </c>
      <c r="E29">
        <f>AVERAGE(Score_Calculations!P29:V29)*30</f>
        <v>28.928571428571431</v>
      </c>
      <c r="F29">
        <f>AVERAGE(Score_Calculations!W29:AA29)*15</f>
        <v>12</v>
      </c>
      <c r="G29">
        <f>AVERAGE(Score_Calculations!AB29:AF29)*15</f>
        <v>8.25</v>
      </c>
    </row>
    <row r="30" spans="1:7" x14ac:dyDescent="0.35">
      <c r="A30" t="s">
        <v>322</v>
      </c>
      <c r="B30" t="s">
        <v>321</v>
      </c>
      <c r="C30">
        <f>AVERAGE(Score_Calculations!C30:J30)*20</f>
        <v>15</v>
      </c>
      <c r="D30">
        <f>AVERAGE(Score_Calculations!K30:O30)*20</f>
        <v>16</v>
      </c>
      <c r="E30">
        <f>AVERAGE(Score_Calculations!P30:V30)*30</f>
        <v>18.214285714285712</v>
      </c>
      <c r="F30">
        <f>AVERAGE(Score_Calculations!W30:AA30)*15</f>
        <v>6.75</v>
      </c>
      <c r="G30">
        <f>AVERAGE(Score_Calculations!AB30:AF30)*15</f>
        <v>8.25</v>
      </c>
    </row>
    <row r="31" spans="1:7" x14ac:dyDescent="0.35">
      <c r="A31" t="s">
        <v>320</v>
      </c>
      <c r="B31" t="s">
        <v>319</v>
      </c>
      <c r="C31">
        <f>AVERAGE(Score_Calculations!C31:J31)*20</f>
        <v>17.5</v>
      </c>
      <c r="D31">
        <f>AVERAGE(Score_Calculations!K31:O31)*20</f>
        <v>17</v>
      </c>
      <c r="E31">
        <f>AVERAGE(Score_Calculations!P31:V31)*30</f>
        <v>25.714285714285712</v>
      </c>
      <c r="F31">
        <f>AVERAGE(Score_Calculations!W31:AA31)*15</f>
        <v>12.75</v>
      </c>
      <c r="G31">
        <f>AVERAGE(Score_Calculations!AB31:AF31)*15</f>
        <v>9</v>
      </c>
    </row>
    <row r="32" spans="1:7" x14ac:dyDescent="0.35">
      <c r="A32" t="s">
        <v>318</v>
      </c>
      <c r="B32" t="s">
        <v>297</v>
      </c>
      <c r="C32">
        <f>AVERAGE(Score_Calculations!C32:J32)*20</f>
        <v>18.75</v>
      </c>
      <c r="D32">
        <f>AVERAGE(Score_Calculations!K32:O32)*20</f>
        <v>16</v>
      </c>
      <c r="E32">
        <f>AVERAGE(Score_Calculations!P32:V32)*30</f>
        <v>20.357142857142858</v>
      </c>
      <c r="F32">
        <f>AVERAGE(Score_Calculations!W32:AA32)*15</f>
        <v>12.75</v>
      </c>
      <c r="G32">
        <f>AVERAGE(Score_Calculations!AB32:AF32)*15</f>
        <v>12</v>
      </c>
    </row>
    <row r="33" spans="1:7" x14ac:dyDescent="0.35">
      <c r="A33" t="s">
        <v>317</v>
      </c>
      <c r="B33" t="s">
        <v>316</v>
      </c>
      <c r="C33">
        <f>AVERAGE(Score_Calculations!C33:J33)*20</f>
        <v>16.875</v>
      </c>
      <c r="D33">
        <f>AVERAGE(Score_Calculations!K33:O33)*20</f>
        <v>19</v>
      </c>
      <c r="E33">
        <f>AVERAGE(Score_Calculations!P33:V33)*30</f>
        <v>25.714285714285712</v>
      </c>
      <c r="F33">
        <f>AVERAGE(Score_Calculations!W33:AA33)*15</f>
        <v>9.75</v>
      </c>
      <c r="G33">
        <f>AVERAGE(Score_Calculations!AB33:AF33)*15</f>
        <v>9.75</v>
      </c>
    </row>
    <row r="34" spans="1:7" x14ac:dyDescent="0.35">
      <c r="A34" t="s">
        <v>315</v>
      </c>
      <c r="B34" t="s">
        <v>314</v>
      </c>
      <c r="C34">
        <f>AVERAGE(Score_Calculations!C34:J34)*20</f>
        <v>20</v>
      </c>
      <c r="D34">
        <f>AVERAGE(Score_Calculations!K34:O34)*20</f>
        <v>19</v>
      </c>
      <c r="E34">
        <f>AVERAGE(Score_Calculations!P34:V34)*30</f>
        <v>27.857142857142858</v>
      </c>
      <c r="F34">
        <f>AVERAGE(Score_Calculations!W34:AA34)*15</f>
        <v>12.75</v>
      </c>
      <c r="G34">
        <f>AVERAGE(Score_Calculations!AB34:AF34)*15</f>
        <v>9</v>
      </c>
    </row>
    <row r="35" spans="1:7" x14ac:dyDescent="0.35">
      <c r="A35" t="s">
        <v>313</v>
      </c>
      <c r="B35" t="s">
        <v>312</v>
      </c>
      <c r="C35">
        <f>AVERAGE(Score_Calculations!C35:J35)*20</f>
        <v>20</v>
      </c>
      <c r="D35">
        <f>AVERAGE(Score_Calculations!K35:O35)*20</f>
        <v>16</v>
      </c>
      <c r="E35">
        <f>AVERAGE(Score_Calculations!P35:V35)*30</f>
        <v>25.714285714285712</v>
      </c>
      <c r="F35">
        <f>AVERAGE(Score_Calculations!W35:AA35)*15</f>
        <v>9</v>
      </c>
      <c r="G35">
        <f>AVERAGE(Score_Calculations!AB35:AF35)*15</f>
        <v>9</v>
      </c>
    </row>
    <row r="36" spans="1:7" x14ac:dyDescent="0.35">
      <c r="A36" t="s">
        <v>311</v>
      </c>
      <c r="B36" t="s">
        <v>271</v>
      </c>
      <c r="C36">
        <f>AVERAGE(Score_Calculations!C36:J36)*20</f>
        <v>19.375</v>
      </c>
      <c r="D36">
        <f>AVERAGE(Score_Calculations!K36:O36)*20</f>
        <v>19</v>
      </c>
      <c r="E36">
        <f>AVERAGE(Score_Calculations!P36:V36)*30</f>
        <v>23.571428571428569</v>
      </c>
      <c r="F36">
        <f>AVERAGE(Score_Calculations!W36:AA36)*15</f>
        <v>10.5</v>
      </c>
      <c r="G36">
        <f>AVERAGE(Score_Calculations!AB36:AF36)*15</f>
        <v>10.5</v>
      </c>
    </row>
    <row r="37" spans="1:7" x14ac:dyDescent="0.35">
      <c r="A37" t="s">
        <v>310</v>
      </c>
      <c r="B37" t="s">
        <v>309</v>
      </c>
      <c r="C37">
        <f>AVERAGE(Score_Calculations!C37:J37)*20</f>
        <v>17.5</v>
      </c>
      <c r="D37">
        <f>AVERAGE(Score_Calculations!K37:O37)*20</f>
        <v>18</v>
      </c>
      <c r="E37">
        <f>AVERAGE(Score_Calculations!P37:V37)*30</f>
        <v>25</v>
      </c>
      <c r="F37">
        <f>AVERAGE(Score_Calculations!W37:AA37)*15</f>
        <v>8.4375</v>
      </c>
      <c r="G37">
        <f>AVERAGE(Score_Calculations!AB37:AF37)*15</f>
        <v>9</v>
      </c>
    </row>
    <row r="38" spans="1:7" x14ac:dyDescent="0.35">
      <c r="A38" t="s">
        <v>308</v>
      </c>
      <c r="B38" t="s">
        <v>307</v>
      </c>
      <c r="C38">
        <f>AVERAGE(Score_Calculations!C38:J38)*20</f>
        <v>20</v>
      </c>
      <c r="D38">
        <f>AVERAGE(Score_Calculations!K38:O38)*20</f>
        <v>19</v>
      </c>
      <c r="E38">
        <f>AVERAGE(Score_Calculations!P38:V38)*30</f>
        <v>25.714285714285712</v>
      </c>
      <c r="F38">
        <f>AVERAGE(Score_Calculations!W38:AA38)*15</f>
        <v>15</v>
      </c>
      <c r="G38">
        <f>AVERAGE(Score_Calculations!AB38:AF38)*15</f>
        <v>8.25</v>
      </c>
    </row>
    <row r="39" spans="1:7" x14ac:dyDescent="0.35">
      <c r="A39" t="s">
        <v>306</v>
      </c>
      <c r="B39" t="s">
        <v>88</v>
      </c>
      <c r="C39">
        <f>AVERAGE(Score_Calculations!C39:J39)*20</f>
        <v>18.75</v>
      </c>
      <c r="D39">
        <f>AVERAGE(Score_Calculations!K39:O39)*20</f>
        <v>18.75</v>
      </c>
      <c r="E39">
        <f>AVERAGE(Score_Calculations!P39:V39)*30</f>
        <v>22.5</v>
      </c>
      <c r="F39">
        <f>AVERAGE(Score_Calculations!W39:AA39)*15</f>
        <v>12</v>
      </c>
      <c r="G39">
        <f>AVERAGE(Score_Calculations!AB39:AF39)*15</f>
        <v>12.75</v>
      </c>
    </row>
    <row r="40" spans="1:7" x14ac:dyDescent="0.35">
      <c r="A40" t="s">
        <v>305</v>
      </c>
      <c r="B40" t="s">
        <v>230</v>
      </c>
      <c r="C40">
        <f>AVERAGE(Score_Calculations!C40:J40)*20</f>
        <v>12.5</v>
      </c>
      <c r="D40">
        <f>AVERAGE(Score_Calculations!K40:O40)*20</f>
        <v>17</v>
      </c>
      <c r="E40">
        <f>AVERAGE(Score_Calculations!P40:V40)*30</f>
        <v>30</v>
      </c>
      <c r="F40">
        <f>AVERAGE(Score_Calculations!W40:AA40)*15</f>
        <v>12.75</v>
      </c>
      <c r="G40">
        <f>AVERAGE(Score_Calculations!AB40:AF40)*15</f>
        <v>9</v>
      </c>
    </row>
    <row r="41" spans="1:7" x14ac:dyDescent="0.35">
      <c r="A41" t="s">
        <v>304</v>
      </c>
      <c r="B41" t="s">
        <v>303</v>
      </c>
      <c r="C41">
        <f>AVERAGE(Score_Calculations!C41:J41)*20</f>
        <v>9.375</v>
      </c>
      <c r="D41">
        <f>AVERAGE(Score_Calculations!K41:O41)*20</f>
        <v>18</v>
      </c>
      <c r="E41">
        <f>AVERAGE(Score_Calculations!P41:V41)*30</f>
        <v>19.285714285714288</v>
      </c>
      <c r="F41">
        <f>AVERAGE(Score_Calculations!W41:AA41)*15</f>
        <v>12</v>
      </c>
      <c r="G41">
        <f>AVERAGE(Score_Calculations!AB41:AF41)*15</f>
        <v>9</v>
      </c>
    </row>
    <row r="42" spans="1:7" x14ac:dyDescent="0.35">
      <c r="A42" t="s">
        <v>302</v>
      </c>
      <c r="B42" t="s">
        <v>301</v>
      </c>
      <c r="C42">
        <f>AVERAGE(Score_Calculations!C42:J42)*20</f>
        <v>19.375</v>
      </c>
      <c r="D42">
        <f>AVERAGE(Score_Calculations!K42:O42)*20</f>
        <v>19</v>
      </c>
      <c r="E42">
        <f>AVERAGE(Score_Calculations!P42:V42)*30</f>
        <v>24.642857142857142</v>
      </c>
      <c r="F42">
        <f>AVERAGE(Score_Calculations!W42:AA42)*15</f>
        <v>8.25</v>
      </c>
      <c r="G42">
        <f>AVERAGE(Score_Calculations!AB42:AF42)*15</f>
        <v>12.75</v>
      </c>
    </row>
    <row r="43" spans="1:7" x14ac:dyDescent="0.35">
      <c r="A43" t="s">
        <v>300</v>
      </c>
      <c r="B43" t="s">
        <v>228</v>
      </c>
      <c r="C43">
        <f>AVERAGE(Score_Calculations!C43:J43)*20</f>
        <v>17.5</v>
      </c>
      <c r="D43">
        <f>AVERAGE(Score_Calculations!K43:O43)*20</f>
        <v>17</v>
      </c>
      <c r="E43">
        <f>AVERAGE(Score_Calculations!P43:V43)*30</f>
        <v>22.5</v>
      </c>
      <c r="F43">
        <f>AVERAGE(Score_Calculations!W43:AA43)*15</f>
        <v>8.4375</v>
      </c>
      <c r="G43">
        <f>AVERAGE(Score_Calculations!AB43:AF43)*15</f>
        <v>11.25</v>
      </c>
    </row>
    <row r="44" spans="1:7" x14ac:dyDescent="0.35">
      <c r="A44" t="s">
        <v>298</v>
      </c>
      <c r="B44" t="s">
        <v>297</v>
      </c>
      <c r="C44">
        <f>AVERAGE(Score_Calculations!C44:J44)*20</f>
        <v>17.5</v>
      </c>
      <c r="D44">
        <f>AVERAGE(Score_Calculations!K44:O44)*20</f>
        <v>18</v>
      </c>
      <c r="E44">
        <f>AVERAGE(Score_Calculations!P44:V44)*30</f>
        <v>23.571428571428569</v>
      </c>
      <c r="F44">
        <f>AVERAGE(Score_Calculations!W44:AA44)*15</f>
        <v>12.75</v>
      </c>
      <c r="G44">
        <f>AVERAGE(Score_Calculations!AB44:AF44)*15</f>
        <v>8.25</v>
      </c>
    </row>
    <row r="45" spans="1:7" x14ac:dyDescent="0.35">
      <c r="A45" t="s">
        <v>296</v>
      </c>
      <c r="B45" t="s">
        <v>295</v>
      </c>
      <c r="C45">
        <f>AVERAGE(Score_Calculations!C45:J45)*20</f>
        <v>14.375</v>
      </c>
      <c r="D45">
        <f>AVERAGE(Score_Calculations!K45:O45)*20</f>
        <v>17</v>
      </c>
      <c r="E45">
        <f>AVERAGE(Score_Calculations!P45:V45)*30</f>
        <v>28.928571428571431</v>
      </c>
      <c r="F45">
        <f>AVERAGE(Score_Calculations!W45:AA45)*15</f>
        <v>10.5</v>
      </c>
      <c r="G45">
        <f>AVERAGE(Score_Calculations!AB45:AF45)*15</f>
        <v>8.25</v>
      </c>
    </row>
    <row r="46" spans="1:7" x14ac:dyDescent="0.35">
      <c r="A46" t="s">
        <v>294</v>
      </c>
      <c r="B46" t="s">
        <v>293</v>
      </c>
      <c r="C46">
        <f>AVERAGE(Score_Calculations!C46:J46)*20</f>
        <v>15.625</v>
      </c>
      <c r="D46">
        <f>AVERAGE(Score_Calculations!K46:O46)*20</f>
        <v>15</v>
      </c>
      <c r="E46">
        <f>AVERAGE(Score_Calculations!P46:V46)*30</f>
        <v>23.75</v>
      </c>
      <c r="F46">
        <f>AVERAGE(Score_Calculations!W46:AA46)*15</f>
        <v>12.75</v>
      </c>
      <c r="G46">
        <f>AVERAGE(Score_Calculations!AB46:AF46)*15</f>
        <v>9</v>
      </c>
    </row>
    <row r="47" spans="1:7" x14ac:dyDescent="0.35">
      <c r="A47" t="s">
        <v>292</v>
      </c>
      <c r="B47" t="s">
        <v>291</v>
      </c>
      <c r="C47">
        <f>AVERAGE(Score_Calculations!C47:J47)*20</f>
        <v>11.875</v>
      </c>
      <c r="D47">
        <f>AVERAGE(Score_Calculations!K47:O47)*20</f>
        <v>17</v>
      </c>
      <c r="E47">
        <f>AVERAGE(Score_Calculations!P47:V47)*30</f>
        <v>18.214285714285712</v>
      </c>
      <c r="F47">
        <f>AVERAGE(Score_Calculations!W47:AA47)*15</f>
        <v>14.25</v>
      </c>
      <c r="G47">
        <f>AVERAGE(Score_Calculations!AB47:AF47)*15</f>
        <v>9.75</v>
      </c>
    </row>
    <row r="48" spans="1:7" x14ac:dyDescent="0.35">
      <c r="A48" t="s">
        <v>290</v>
      </c>
      <c r="B48" t="s">
        <v>289</v>
      </c>
      <c r="C48">
        <f>AVERAGE(Score_Calculations!C48:J48)*20</f>
        <v>16.875</v>
      </c>
      <c r="D48">
        <f>AVERAGE(Score_Calculations!K48:O48)*20</f>
        <v>14</v>
      </c>
      <c r="E48">
        <f>AVERAGE(Score_Calculations!P48:V48)*30</f>
        <v>26.785714285714288</v>
      </c>
      <c r="F48">
        <f>AVERAGE(Score_Calculations!W48:AA48)*15</f>
        <v>6</v>
      </c>
      <c r="G48">
        <f>AVERAGE(Score_Calculations!AB48:AF48)*15</f>
        <v>9</v>
      </c>
    </row>
    <row r="49" spans="1:7" x14ac:dyDescent="0.35">
      <c r="A49" t="s">
        <v>286</v>
      </c>
      <c r="B49" t="s">
        <v>285</v>
      </c>
      <c r="C49">
        <f>AVERAGE(Score_Calculations!C49:J49)*20</f>
        <v>20</v>
      </c>
      <c r="D49">
        <f>AVERAGE(Score_Calculations!K49:O49)*20</f>
        <v>14</v>
      </c>
      <c r="E49">
        <f>AVERAGE(Score_Calculations!P49:V49)*30</f>
        <v>25</v>
      </c>
      <c r="F49">
        <f>AVERAGE(Score_Calculations!W49:AA49)*15</f>
        <v>14.25</v>
      </c>
      <c r="G49">
        <f>AVERAGE(Score_Calculations!AB49:AF49)*15</f>
        <v>9</v>
      </c>
    </row>
    <row r="50" spans="1:7" x14ac:dyDescent="0.35">
      <c r="A50" t="s">
        <v>283</v>
      </c>
      <c r="B50" t="s">
        <v>180</v>
      </c>
      <c r="C50">
        <f>AVERAGE(Score_Calculations!C50:J50)*20</f>
        <v>15</v>
      </c>
      <c r="D50">
        <f>AVERAGE(Score_Calculations!K50:O50)*20</f>
        <v>20</v>
      </c>
      <c r="E50">
        <f>AVERAGE(Score_Calculations!P50:V50)*30</f>
        <v>18.214285714285712</v>
      </c>
      <c r="F50">
        <f>AVERAGE(Score_Calculations!W50:AA50)*15</f>
        <v>9.75</v>
      </c>
      <c r="G50">
        <f>AVERAGE(Score_Calculations!AB50:AF50)*15</f>
        <v>13.5</v>
      </c>
    </row>
    <row r="51" spans="1:7" x14ac:dyDescent="0.35">
      <c r="A51" t="s">
        <v>281</v>
      </c>
      <c r="B51" t="s">
        <v>280</v>
      </c>
      <c r="C51">
        <f>AVERAGE(Score_Calculations!C51:J51)*20</f>
        <v>20</v>
      </c>
      <c r="D51">
        <f>AVERAGE(Score_Calculations!K51:O51)*20</f>
        <v>16</v>
      </c>
      <c r="E51">
        <f>AVERAGE(Score_Calculations!P51:V51)*30</f>
        <v>25.714285714285712</v>
      </c>
      <c r="F51">
        <f>AVERAGE(Score_Calculations!W51:AA51)*15</f>
        <v>9.75</v>
      </c>
      <c r="G51">
        <f>AVERAGE(Score_Calculations!AB51:AF51)*15</f>
        <v>10.5</v>
      </c>
    </row>
    <row r="52" spans="1:7" x14ac:dyDescent="0.35">
      <c r="A52" t="s">
        <v>277</v>
      </c>
      <c r="B52" t="s">
        <v>276</v>
      </c>
      <c r="C52">
        <f>AVERAGE(Score_Calculations!C52:J52)*20</f>
        <v>11.25</v>
      </c>
      <c r="D52">
        <f>AVERAGE(Score_Calculations!K52:O52)*20</f>
        <v>15</v>
      </c>
      <c r="E52">
        <f>AVERAGE(Score_Calculations!P52:V52)*30</f>
        <v>26.785714285714288</v>
      </c>
      <c r="F52">
        <f>AVERAGE(Score_Calculations!W52:AA52)*15</f>
        <v>12</v>
      </c>
      <c r="G52">
        <f>AVERAGE(Score_Calculations!AB52:AF52)*15</f>
        <v>7.5</v>
      </c>
    </row>
    <row r="53" spans="1:7" x14ac:dyDescent="0.35">
      <c r="A53" t="s">
        <v>275</v>
      </c>
      <c r="B53" t="s">
        <v>172</v>
      </c>
      <c r="C53">
        <f>AVERAGE(Score_Calculations!C53:J53)*20</f>
        <v>13.75</v>
      </c>
      <c r="D53">
        <f>AVERAGE(Score_Calculations!K53:O53)*20</f>
        <v>8</v>
      </c>
      <c r="E53">
        <f>AVERAGE(Score_Calculations!P53:V53)*30</f>
        <v>17.5</v>
      </c>
      <c r="F53">
        <f>AVERAGE(Score_Calculations!W53:AA53)*15</f>
        <v>12.75</v>
      </c>
      <c r="G53">
        <f>AVERAGE(Score_Calculations!AB53:AF53)*15</f>
        <v>6.75</v>
      </c>
    </row>
    <row r="54" spans="1:7" x14ac:dyDescent="0.35">
      <c r="A54" t="s">
        <v>274</v>
      </c>
      <c r="B54" t="s">
        <v>273</v>
      </c>
      <c r="C54">
        <f>AVERAGE(Score_Calculations!C54:J54)*20</f>
        <v>11.25</v>
      </c>
      <c r="D54">
        <f>AVERAGE(Score_Calculations!K54:O54)*20</f>
        <v>5</v>
      </c>
      <c r="E54">
        <f>AVERAGE(Score_Calculations!P54:V54)*30</f>
        <v>17.142857142857142</v>
      </c>
      <c r="F54">
        <f>AVERAGE(Score_Calculations!W54:AA54)*15</f>
        <v>6.75</v>
      </c>
      <c r="G54">
        <f>AVERAGE(Score_Calculations!AB54:AF54)*15</f>
        <v>12.75</v>
      </c>
    </row>
    <row r="55" spans="1:7" x14ac:dyDescent="0.35">
      <c r="A55" t="s">
        <v>272</v>
      </c>
      <c r="B55" t="s">
        <v>271</v>
      </c>
      <c r="C55">
        <f>AVERAGE(Score_Calculations!C55:J55)*20</f>
        <v>19.375</v>
      </c>
      <c r="D55">
        <f>AVERAGE(Score_Calculations!K55:O55)*20</f>
        <v>17</v>
      </c>
      <c r="E55">
        <f>AVERAGE(Score_Calculations!P55:V55)*30</f>
        <v>19.285714285714288</v>
      </c>
      <c r="F55">
        <f>AVERAGE(Score_Calculations!W55:AA55)*15</f>
        <v>12.1875</v>
      </c>
      <c r="G55">
        <f>AVERAGE(Score_Calculations!AB55:AF55)*15</f>
        <v>11.25</v>
      </c>
    </row>
    <row r="56" spans="1:7" x14ac:dyDescent="0.35">
      <c r="A56" t="s">
        <v>270</v>
      </c>
      <c r="B56" t="s">
        <v>136</v>
      </c>
      <c r="C56">
        <f>AVERAGE(Score_Calculations!C56:J56)*20</f>
        <v>12.5</v>
      </c>
      <c r="D56">
        <f>AVERAGE(Score_Calculations!K56:O56)*20</f>
        <v>18</v>
      </c>
      <c r="E56">
        <f>AVERAGE(Score_Calculations!P56:V56)*30</f>
        <v>16.071428571428569</v>
      </c>
      <c r="F56">
        <f>AVERAGE(Score_Calculations!W56:AA56)*15</f>
        <v>11.25</v>
      </c>
      <c r="G56">
        <f>AVERAGE(Score_Calculations!AB56:AF56)*15</f>
        <v>13.5</v>
      </c>
    </row>
    <row r="57" spans="1:7" x14ac:dyDescent="0.35">
      <c r="A57" t="s">
        <v>269</v>
      </c>
      <c r="B57" t="s">
        <v>168</v>
      </c>
      <c r="C57">
        <f>AVERAGE(Score_Calculations!C57:J57)*20</f>
        <v>14.375</v>
      </c>
      <c r="D57">
        <f>AVERAGE(Score_Calculations!K57:O57)*20</f>
        <v>12</v>
      </c>
      <c r="E57">
        <f>AVERAGE(Score_Calculations!P57:V57)*30</f>
        <v>11.785714285714285</v>
      </c>
      <c r="F57">
        <f>AVERAGE(Score_Calculations!W57:AA57)*15</f>
        <v>11.25</v>
      </c>
      <c r="G57">
        <f>AVERAGE(Score_Calculations!AB57:AF57)*15</f>
        <v>11.25</v>
      </c>
    </row>
    <row r="58" spans="1:7" x14ac:dyDescent="0.35">
      <c r="A58" t="s">
        <v>267</v>
      </c>
      <c r="B58" t="s">
        <v>26</v>
      </c>
      <c r="C58">
        <f>AVERAGE(Score_Calculations!C58:J58)*20</f>
        <v>10.625</v>
      </c>
      <c r="D58">
        <f>AVERAGE(Score_Calculations!K58:O58)*20</f>
        <v>15</v>
      </c>
      <c r="E58">
        <f>AVERAGE(Score_Calculations!P58:V58)*30</f>
        <v>27.857142857142858</v>
      </c>
      <c r="F58">
        <f>AVERAGE(Score_Calculations!W58:AA58)*15</f>
        <v>13.5</v>
      </c>
      <c r="G58">
        <f>AVERAGE(Score_Calculations!AB58:AF58)*15</f>
        <v>9</v>
      </c>
    </row>
    <row r="59" spans="1:7" x14ac:dyDescent="0.35">
      <c r="A59" t="s">
        <v>266</v>
      </c>
      <c r="B59" t="s">
        <v>265</v>
      </c>
      <c r="C59">
        <f>AVERAGE(Score_Calculations!C59:J59)*20</f>
        <v>20</v>
      </c>
      <c r="D59">
        <f>AVERAGE(Score_Calculations!K59:O59)*20</f>
        <v>17</v>
      </c>
      <c r="E59">
        <f>AVERAGE(Score_Calculations!P59:V59)*30</f>
        <v>17.142857142857142</v>
      </c>
      <c r="F59">
        <f>AVERAGE(Score_Calculations!W59:AA59)*15</f>
        <v>7.5</v>
      </c>
      <c r="G59">
        <f>AVERAGE(Score_Calculations!AB59:AF59)*15</f>
        <v>10.5</v>
      </c>
    </row>
    <row r="60" spans="1:7" x14ac:dyDescent="0.35">
      <c r="A60" t="s">
        <v>264</v>
      </c>
      <c r="B60" t="s">
        <v>263</v>
      </c>
      <c r="C60">
        <f>AVERAGE(Score_Calculations!C60:J60)*20</f>
        <v>11.875</v>
      </c>
      <c r="D60">
        <f>AVERAGE(Score_Calculations!K60:O60)*20</f>
        <v>11</v>
      </c>
      <c r="E60">
        <f>AVERAGE(Score_Calculations!P60:V60)*30</f>
        <v>17.142857142857142</v>
      </c>
      <c r="F60">
        <f>AVERAGE(Score_Calculations!W60:AA60)*15</f>
        <v>15</v>
      </c>
      <c r="G60">
        <f>AVERAGE(Score_Calculations!AB60:AF60)*15</f>
        <v>11.25</v>
      </c>
    </row>
    <row r="61" spans="1:7" x14ac:dyDescent="0.35">
      <c r="A61" t="s">
        <v>262</v>
      </c>
      <c r="B61" t="s">
        <v>261</v>
      </c>
      <c r="C61">
        <f>AVERAGE(Score_Calculations!C61:J61)*20</f>
        <v>13.125</v>
      </c>
      <c r="D61">
        <f>AVERAGE(Score_Calculations!K61:O61)*20</f>
        <v>9</v>
      </c>
      <c r="E61">
        <f>AVERAGE(Score_Calculations!P61:V61)*30</f>
        <v>22.5</v>
      </c>
      <c r="F61">
        <f>AVERAGE(Score_Calculations!W61:AA61)*15</f>
        <v>7.5</v>
      </c>
      <c r="G61">
        <f>AVERAGE(Score_Calculations!AB61:AF61)*15</f>
        <v>12.75</v>
      </c>
    </row>
    <row r="62" spans="1:7" x14ac:dyDescent="0.35">
      <c r="A62" t="s">
        <v>260</v>
      </c>
      <c r="B62" t="s">
        <v>259</v>
      </c>
      <c r="C62">
        <f>AVERAGE(Score_Calculations!C62:J62)*20</f>
        <v>14.375</v>
      </c>
      <c r="D62">
        <f>AVERAGE(Score_Calculations!K62:O62)*20</f>
        <v>13</v>
      </c>
      <c r="E62">
        <f>AVERAGE(Score_Calculations!P62:V62)*30</f>
        <v>19.285714285714288</v>
      </c>
      <c r="F62">
        <f>AVERAGE(Score_Calculations!W62:AA62)*15</f>
        <v>10.5</v>
      </c>
      <c r="G62">
        <f>AVERAGE(Score_Calculations!AB62:AF62)*15</f>
        <v>8.25</v>
      </c>
    </row>
    <row r="63" spans="1:7" x14ac:dyDescent="0.35">
      <c r="A63" t="s">
        <v>258</v>
      </c>
      <c r="B63" t="s">
        <v>70</v>
      </c>
      <c r="C63">
        <f>AVERAGE(Score_Calculations!C63:J63)*20</f>
        <v>7.5</v>
      </c>
      <c r="D63">
        <f>AVERAGE(Score_Calculations!K63:O63)*20</f>
        <v>16</v>
      </c>
      <c r="E63">
        <f>AVERAGE(Score_Calculations!P63:V63)*30</f>
        <v>24.642857142857142</v>
      </c>
      <c r="F63">
        <f>AVERAGE(Score_Calculations!W63:AA63)*15</f>
        <v>12</v>
      </c>
      <c r="G63">
        <f>AVERAGE(Score_Calculations!AB63:AF63)*15</f>
        <v>14.25</v>
      </c>
    </row>
    <row r="64" spans="1:7" x14ac:dyDescent="0.35">
      <c r="A64" t="s">
        <v>257</v>
      </c>
      <c r="B64" t="s">
        <v>256</v>
      </c>
      <c r="C64">
        <f>AVERAGE(Score_Calculations!C64:J64)*20</f>
        <v>15.625</v>
      </c>
      <c r="D64">
        <f>AVERAGE(Score_Calculations!K64:O64)*20</f>
        <v>9</v>
      </c>
      <c r="E64">
        <f>AVERAGE(Score_Calculations!P64:V64)*30</f>
        <v>13.75</v>
      </c>
      <c r="F64">
        <f>AVERAGE(Score_Calculations!W64:AA64)*15</f>
        <v>5.25</v>
      </c>
      <c r="G64">
        <f>AVERAGE(Score_Calculations!AB64:AF64)*15</f>
        <v>12</v>
      </c>
    </row>
    <row r="65" spans="1:7" x14ac:dyDescent="0.35">
      <c r="A65" t="s">
        <v>255</v>
      </c>
      <c r="B65" t="s">
        <v>254</v>
      </c>
      <c r="C65">
        <f>AVERAGE(Score_Calculations!C65:J65)*20</f>
        <v>8.125</v>
      </c>
      <c r="D65">
        <f>AVERAGE(Score_Calculations!K65:O65)*20</f>
        <v>12</v>
      </c>
      <c r="E65">
        <f>AVERAGE(Score_Calculations!P65:V65)*30</f>
        <v>15</v>
      </c>
      <c r="F65">
        <f>AVERAGE(Score_Calculations!W65:AA65)*15</f>
        <v>11.25</v>
      </c>
      <c r="G65">
        <f>AVERAGE(Score_Calculations!AB65:AF65)*15</f>
        <v>9</v>
      </c>
    </row>
    <row r="66" spans="1:7" x14ac:dyDescent="0.35">
      <c r="A66" t="s">
        <v>252</v>
      </c>
      <c r="B66" t="s">
        <v>251</v>
      </c>
      <c r="C66">
        <f>AVERAGE(Score_Calculations!C66:J66)*20</f>
        <v>15</v>
      </c>
      <c r="D66">
        <f>AVERAGE(Score_Calculations!K66:O66)*20</f>
        <v>17</v>
      </c>
      <c r="E66">
        <f>AVERAGE(Score_Calculations!P66:V66)*30</f>
        <v>13.928571428571429</v>
      </c>
      <c r="F66">
        <f>AVERAGE(Score_Calculations!W66:AA66)*15</f>
        <v>11.25</v>
      </c>
      <c r="G66">
        <f>AVERAGE(Score_Calculations!AB66:AF66)*15</f>
        <v>10.5</v>
      </c>
    </row>
    <row r="67" spans="1:7" x14ac:dyDescent="0.35">
      <c r="A67" t="s">
        <v>249</v>
      </c>
      <c r="B67" t="s">
        <v>248</v>
      </c>
      <c r="C67">
        <f>AVERAGE(Score_Calculations!C67:J67)*20</f>
        <v>14.375</v>
      </c>
      <c r="D67">
        <f>AVERAGE(Score_Calculations!K67:O67)*20</f>
        <v>13</v>
      </c>
      <c r="E67">
        <f>AVERAGE(Score_Calculations!P67:V67)*30</f>
        <v>18.214285714285712</v>
      </c>
      <c r="F67">
        <f>AVERAGE(Score_Calculations!W67:AA67)*15</f>
        <v>8.25</v>
      </c>
      <c r="G67">
        <f>AVERAGE(Score_Calculations!AB67:AF67)*15</f>
        <v>13.5</v>
      </c>
    </row>
    <row r="68" spans="1:7" x14ac:dyDescent="0.35">
      <c r="A68" t="s">
        <v>247</v>
      </c>
      <c r="B68" t="s">
        <v>198</v>
      </c>
      <c r="C68">
        <f>AVERAGE(Score_Calculations!C68:J68)*20</f>
        <v>13.125</v>
      </c>
      <c r="D68">
        <f>AVERAGE(Score_Calculations!K68:O68)*20</f>
        <v>15</v>
      </c>
      <c r="E68">
        <f>AVERAGE(Score_Calculations!P68:V68)*30</f>
        <v>19.285714285714288</v>
      </c>
      <c r="F68">
        <f>AVERAGE(Score_Calculations!W68:AA68)*15</f>
        <v>12</v>
      </c>
      <c r="G68">
        <f>AVERAGE(Score_Calculations!AB68:AF68)*15</f>
        <v>9</v>
      </c>
    </row>
    <row r="69" spans="1:7" x14ac:dyDescent="0.35">
      <c r="A69" t="s">
        <v>246</v>
      </c>
      <c r="B69" t="s">
        <v>245</v>
      </c>
      <c r="C69">
        <f>AVERAGE(Score_Calculations!C69:J69)*20</f>
        <v>11.428571428571427</v>
      </c>
      <c r="D69">
        <f>AVERAGE(Score_Calculations!K69:O69)*20</f>
        <v>9</v>
      </c>
      <c r="E69">
        <f>AVERAGE(Score_Calculations!P69:V69)*30</f>
        <v>23.571428571428569</v>
      </c>
      <c r="F69">
        <f>AVERAGE(Score_Calculations!W69:AA69)*15</f>
        <v>7.5</v>
      </c>
      <c r="G69">
        <f>AVERAGE(Score_Calculations!AB69:AF69)*15</f>
        <v>11.25</v>
      </c>
    </row>
    <row r="70" spans="1:7" x14ac:dyDescent="0.35">
      <c r="A70" t="s">
        <v>244</v>
      </c>
      <c r="B70" t="s">
        <v>139</v>
      </c>
      <c r="C70">
        <f>AVERAGE(Score_Calculations!C70:J70)*20</f>
        <v>11.875</v>
      </c>
      <c r="D70">
        <f>AVERAGE(Score_Calculations!K70:O70)*20</f>
        <v>10</v>
      </c>
      <c r="E70">
        <f>AVERAGE(Score_Calculations!P70:V70)*30</f>
        <v>20.357142857142858</v>
      </c>
      <c r="F70">
        <f>AVERAGE(Score_Calculations!W70:AA70)*15</f>
        <v>7.5</v>
      </c>
      <c r="G70">
        <f>AVERAGE(Score_Calculations!AB70:AF70)*15</f>
        <v>11.25</v>
      </c>
    </row>
    <row r="71" spans="1:7" x14ac:dyDescent="0.35">
      <c r="A71" t="s">
        <v>242</v>
      </c>
      <c r="B71" t="s">
        <v>241</v>
      </c>
      <c r="C71">
        <f>AVERAGE(Score_Calculations!C71:J71)*20</f>
        <v>17.5</v>
      </c>
      <c r="D71">
        <f>AVERAGE(Score_Calculations!K71:O71)*20</f>
        <v>14</v>
      </c>
      <c r="E71">
        <f>AVERAGE(Score_Calculations!P71:V71)*30</f>
        <v>20.357142857142858</v>
      </c>
      <c r="F71">
        <f>AVERAGE(Score_Calculations!W71:AA71)*15</f>
        <v>6</v>
      </c>
      <c r="G71">
        <f>AVERAGE(Score_Calculations!AB71:AF71)*15</f>
        <v>7.5</v>
      </c>
    </row>
    <row r="72" spans="1:7" x14ac:dyDescent="0.35">
      <c r="A72" t="s">
        <v>238</v>
      </c>
      <c r="B72" t="s">
        <v>237</v>
      </c>
      <c r="C72">
        <f>AVERAGE(Score_Calculations!C72:J72)*20</f>
        <v>12.5</v>
      </c>
      <c r="D72">
        <f>AVERAGE(Score_Calculations!K72:O72)*20</f>
        <v>8</v>
      </c>
      <c r="E72">
        <f>AVERAGE(Score_Calculations!P72:V72)*30</f>
        <v>15</v>
      </c>
      <c r="F72">
        <f>AVERAGE(Score_Calculations!W72:AA72)*15</f>
        <v>6.75</v>
      </c>
      <c r="G72">
        <f>AVERAGE(Score_Calculations!AB72:AF72)*15</f>
        <v>14.25</v>
      </c>
    </row>
    <row r="73" spans="1:7" x14ac:dyDescent="0.35">
      <c r="A73" t="s">
        <v>236</v>
      </c>
      <c r="B73" t="s">
        <v>235</v>
      </c>
      <c r="C73">
        <f>AVERAGE(Score_Calculations!C73:J73)*20</f>
        <v>13.75</v>
      </c>
      <c r="D73">
        <f>AVERAGE(Score_Calculations!K73:O73)*20</f>
        <v>11</v>
      </c>
      <c r="E73">
        <f>AVERAGE(Score_Calculations!P73:V73)*30</f>
        <v>22.5</v>
      </c>
      <c r="F73">
        <f>AVERAGE(Score_Calculations!W73:AA73)*15</f>
        <v>10.5</v>
      </c>
      <c r="G73">
        <f>AVERAGE(Score_Calculations!AB73:AF73)*15</f>
        <v>9</v>
      </c>
    </row>
    <row r="74" spans="1:7" x14ac:dyDescent="0.35">
      <c r="A74" t="s">
        <v>234</v>
      </c>
      <c r="B74" t="s">
        <v>233</v>
      </c>
      <c r="C74">
        <f>AVERAGE(Score_Calculations!C74:J74)*20</f>
        <v>16.875</v>
      </c>
      <c r="D74">
        <f>AVERAGE(Score_Calculations!K74:O74)*20</f>
        <v>13.75</v>
      </c>
      <c r="E74">
        <f>AVERAGE(Score_Calculations!P74:V74)*30</f>
        <v>12.857142857142856</v>
      </c>
      <c r="F74">
        <f>AVERAGE(Score_Calculations!W74:AA74)*15</f>
        <v>11.25</v>
      </c>
      <c r="G74">
        <f>AVERAGE(Score_Calculations!AB74:AF74)*15</f>
        <v>11.25</v>
      </c>
    </row>
    <row r="75" spans="1:7" x14ac:dyDescent="0.35">
      <c r="A75" t="s">
        <v>232</v>
      </c>
      <c r="B75" t="s">
        <v>174</v>
      </c>
      <c r="C75">
        <f>AVERAGE(Score_Calculations!C75:J75)*20</f>
        <v>14.375</v>
      </c>
      <c r="D75">
        <f>AVERAGE(Score_Calculations!K75:O75)*20</f>
        <v>14</v>
      </c>
      <c r="E75">
        <f>AVERAGE(Score_Calculations!P75:V75)*30</f>
        <v>23.571428571428569</v>
      </c>
      <c r="F75">
        <f>AVERAGE(Score_Calculations!W75:AA75)*15</f>
        <v>6.75</v>
      </c>
      <c r="G75">
        <f>AVERAGE(Score_Calculations!AB75:AF75)*15</f>
        <v>8.25</v>
      </c>
    </row>
    <row r="76" spans="1:7" x14ac:dyDescent="0.35">
      <c r="A76" t="s">
        <v>231</v>
      </c>
      <c r="B76" t="s">
        <v>230</v>
      </c>
      <c r="C76">
        <f>AVERAGE(Score_Calculations!C76:J76)*20</f>
        <v>17.142857142857142</v>
      </c>
      <c r="D76">
        <f>AVERAGE(Score_Calculations!K76:O76)*20</f>
        <v>18</v>
      </c>
      <c r="E76">
        <f>AVERAGE(Score_Calculations!P76:V76)*30</f>
        <v>11.785714285714285</v>
      </c>
      <c r="F76">
        <f>AVERAGE(Score_Calculations!W76:AA76)*15</f>
        <v>8.25</v>
      </c>
      <c r="G76">
        <f>AVERAGE(Score_Calculations!AB76:AF76)*15</f>
        <v>11.25</v>
      </c>
    </row>
    <row r="77" spans="1:7" x14ac:dyDescent="0.35">
      <c r="A77" t="s">
        <v>229</v>
      </c>
      <c r="B77" t="s">
        <v>228</v>
      </c>
      <c r="C77">
        <f>AVERAGE(Score_Calculations!C77:J77)*20</f>
        <v>8.75</v>
      </c>
      <c r="D77">
        <f>AVERAGE(Score_Calculations!K77:O77)*20</f>
        <v>18</v>
      </c>
      <c r="E77">
        <f>AVERAGE(Score_Calculations!P77:V77)*30</f>
        <v>16.071428571428569</v>
      </c>
      <c r="F77">
        <f>AVERAGE(Score_Calculations!W77:AA77)*15</f>
        <v>6.75</v>
      </c>
      <c r="G77">
        <f>AVERAGE(Score_Calculations!AB77:AF77)*15</f>
        <v>12</v>
      </c>
    </row>
    <row r="78" spans="1:7" x14ac:dyDescent="0.35">
      <c r="A78" t="s">
        <v>227</v>
      </c>
      <c r="B78" t="s">
        <v>211</v>
      </c>
      <c r="C78">
        <f>AVERAGE(Score_Calculations!C78:J78)*20</f>
        <v>18.571428571428573</v>
      </c>
      <c r="D78">
        <f>AVERAGE(Score_Calculations!K78:O78)*20</f>
        <v>16</v>
      </c>
      <c r="E78">
        <f>AVERAGE(Score_Calculations!P78:V78)*30</f>
        <v>15</v>
      </c>
      <c r="F78">
        <f>AVERAGE(Score_Calculations!W78:AA78)*15</f>
        <v>12.75</v>
      </c>
      <c r="G78">
        <f>AVERAGE(Score_Calculations!AB78:AF78)*15</f>
        <v>9</v>
      </c>
    </row>
    <row r="79" spans="1:7" x14ac:dyDescent="0.35">
      <c r="A79" t="s">
        <v>226</v>
      </c>
      <c r="B79" t="s">
        <v>225</v>
      </c>
      <c r="C79">
        <f>AVERAGE(Score_Calculations!C79:J79)*20</f>
        <v>10.714285714285714</v>
      </c>
      <c r="D79">
        <f>AVERAGE(Score_Calculations!K79:O79)*20</f>
        <v>18</v>
      </c>
      <c r="E79">
        <f>AVERAGE(Score_Calculations!P79:V79)*30</f>
        <v>20.357142857142858</v>
      </c>
      <c r="F79">
        <f>AVERAGE(Score_Calculations!W79:AA79)*15</f>
        <v>12.1875</v>
      </c>
      <c r="G79">
        <f>AVERAGE(Score_Calculations!AB79:AF79)*15</f>
        <v>9.75</v>
      </c>
    </row>
    <row r="80" spans="1:7" x14ac:dyDescent="0.35">
      <c r="A80" t="s">
        <v>224</v>
      </c>
      <c r="B80" t="s">
        <v>223</v>
      </c>
      <c r="C80">
        <f>AVERAGE(Score_Calculations!C80:J80)*20</f>
        <v>18.75</v>
      </c>
      <c r="D80">
        <f>AVERAGE(Score_Calculations!K80:O80)*20</f>
        <v>12.5</v>
      </c>
      <c r="E80">
        <f>AVERAGE(Score_Calculations!P80:V80)*30</f>
        <v>20.357142857142858</v>
      </c>
      <c r="F80">
        <f>AVERAGE(Score_Calculations!W80:AA80)*15</f>
        <v>9</v>
      </c>
      <c r="G80">
        <f>AVERAGE(Score_Calculations!AB80:AF80)*15</f>
        <v>12</v>
      </c>
    </row>
    <row r="81" spans="1:7" x14ac:dyDescent="0.35">
      <c r="A81" t="s">
        <v>222</v>
      </c>
      <c r="B81" t="s">
        <v>221</v>
      </c>
      <c r="C81">
        <f>AVERAGE(Score_Calculations!C81:J81)*20</f>
        <v>16.875</v>
      </c>
      <c r="D81">
        <f>AVERAGE(Score_Calculations!K81:O81)*20</f>
        <v>14</v>
      </c>
      <c r="E81">
        <f>AVERAGE(Score_Calculations!P81:V81)*30</f>
        <v>16.071428571428569</v>
      </c>
      <c r="F81">
        <f>AVERAGE(Score_Calculations!W81:AA81)*15</f>
        <v>9</v>
      </c>
      <c r="G81">
        <f>AVERAGE(Score_Calculations!AB81:AF81)*15</f>
        <v>12</v>
      </c>
    </row>
    <row r="82" spans="1:7" x14ac:dyDescent="0.35">
      <c r="A82" t="s">
        <v>219</v>
      </c>
      <c r="B82" t="s">
        <v>218</v>
      </c>
      <c r="C82">
        <f>AVERAGE(Score_Calculations!C82:J82)*20</f>
        <v>12.5</v>
      </c>
      <c r="D82">
        <f>AVERAGE(Score_Calculations!K82:O82)*20</f>
        <v>15</v>
      </c>
      <c r="E82">
        <f>AVERAGE(Score_Calculations!P82:V82)*30</f>
        <v>22.5</v>
      </c>
      <c r="F82">
        <f>AVERAGE(Score_Calculations!W82:AA82)*15</f>
        <v>8.25</v>
      </c>
      <c r="G82">
        <f>AVERAGE(Score_Calculations!AB82:AF82)*15</f>
        <v>12</v>
      </c>
    </row>
    <row r="83" spans="1:7" x14ac:dyDescent="0.35">
      <c r="A83" t="s">
        <v>217</v>
      </c>
      <c r="B83" t="s">
        <v>216</v>
      </c>
      <c r="C83">
        <f>AVERAGE(Score_Calculations!C83:J83)*20</f>
        <v>10.625</v>
      </c>
      <c r="D83">
        <f>AVERAGE(Score_Calculations!K83:O83)*20</f>
        <v>11</v>
      </c>
      <c r="E83">
        <f>AVERAGE(Score_Calculations!P83:V83)*30</f>
        <v>10.714285714285715</v>
      </c>
      <c r="F83">
        <f>AVERAGE(Score_Calculations!W83:AA83)*15</f>
        <v>9.75</v>
      </c>
      <c r="G83">
        <f>AVERAGE(Score_Calculations!AB83:AF83)*15</f>
        <v>11.25</v>
      </c>
    </row>
    <row r="84" spans="1:7" x14ac:dyDescent="0.35">
      <c r="A84" t="s">
        <v>214</v>
      </c>
      <c r="B84" t="s">
        <v>150</v>
      </c>
      <c r="C84">
        <f>AVERAGE(Score_Calculations!C84:J84)*20</f>
        <v>13.125</v>
      </c>
      <c r="D84">
        <f>AVERAGE(Score_Calculations!K84:O84)*20</f>
        <v>17</v>
      </c>
      <c r="E84">
        <f>AVERAGE(Score_Calculations!P84:V84)*30</f>
        <v>23.571428571428569</v>
      </c>
      <c r="F84">
        <f>AVERAGE(Score_Calculations!W84:AA84)*15</f>
        <v>4.5</v>
      </c>
      <c r="G84">
        <f>AVERAGE(Score_Calculations!AB84:AF84)*15</f>
        <v>12</v>
      </c>
    </row>
    <row r="85" spans="1:7" x14ac:dyDescent="0.35">
      <c r="A85" t="s">
        <v>213</v>
      </c>
      <c r="B85" t="s">
        <v>96</v>
      </c>
      <c r="C85">
        <f>AVERAGE(Score_Calculations!C85:J85)*20</f>
        <v>11.875</v>
      </c>
      <c r="D85">
        <f>AVERAGE(Score_Calculations!K85:O85)*20</f>
        <v>18</v>
      </c>
      <c r="E85">
        <f>AVERAGE(Score_Calculations!P85:V85)*30</f>
        <v>24.642857142857142</v>
      </c>
      <c r="F85">
        <f>AVERAGE(Score_Calculations!W85:AA85)*15</f>
        <v>8.25</v>
      </c>
      <c r="G85">
        <f>AVERAGE(Score_Calculations!AB85:AF85)*15</f>
        <v>8.25</v>
      </c>
    </row>
    <row r="86" spans="1:7" x14ac:dyDescent="0.35">
      <c r="A86" t="s">
        <v>212</v>
      </c>
      <c r="B86" t="s">
        <v>211</v>
      </c>
      <c r="C86">
        <f>AVERAGE(Score_Calculations!C86:J86)*20</f>
        <v>16.25</v>
      </c>
      <c r="D86">
        <f>AVERAGE(Score_Calculations!K86:O86)*20</f>
        <v>10</v>
      </c>
      <c r="E86">
        <f>AVERAGE(Score_Calculations!P86:V86)*30</f>
        <v>19.285714285714288</v>
      </c>
      <c r="F86">
        <f>AVERAGE(Score_Calculations!W86:AA86)*15</f>
        <v>9.75</v>
      </c>
      <c r="G86">
        <f>AVERAGE(Score_Calculations!AB86:AF86)*15</f>
        <v>8.25</v>
      </c>
    </row>
    <row r="87" spans="1:7" x14ac:dyDescent="0.35">
      <c r="A87" t="s">
        <v>210</v>
      </c>
      <c r="B87" t="s">
        <v>209</v>
      </c>
      <c r="C87">
        <f>AVERAGE(Score_Calculations!C87:J87)*20</f>
        <v>11.875</v>
      </c>
      <c r="D87">
        <f>AVERAGE(Score_Calculations!K87:O87)*20</f>
        <v>11</v>
      </c>
      <c r="E87">
        <f>AVERAGE(Score_Calculations!P87:V87)*30</f>
        <v>23.571428571428569</v>
      </c>
      <c r="F87">
        <f>AVERAGE(Score_Calculations!W87:AA87)*15</f>
        <v>11.25</v>
      </c>
      <c r="G87">
        <f>AVERAGE(Score_Calculations!AB87:AF87)*15</f>
        <v>9.75</v>
      </c>
    </row>
    <row r="88" spans="1:7" x14ac:dyDescent="0.35">
      <c r="A88" t="s">
        <v>208</v>
      </c>
      <c r="B88" t="s">
        <v>207</v>
      </c>
      <c r="C88">
        <f>AVERAGE(Score_Calculations!C88:J88)*20</f>
        <v>15</v>
      </c>
      <c r="D88">
        <f>AVERAGE(Score_Calculations!K88:O88)*20</f>
        <v>12</v>
      </c>
      <c r="E88">
        <f>AVERAGE(Score_Calculations!P88:V88)*30</f>
        <v>19.285714285714288</v>
      </c>
      <c r="F88">
        <f>AVERAGE(Score_Calculations!W88:AA88)*15</f>
        <v>10.5</v>
      </c>
      <c r="G88">
        <f>AVERAGE(Score_Calculations!AB88:AF88)*15</f>
        <v>13.5</v>
      </c>
    </row>
    <row r="89" spans="1:7" x14ac:dyDescent="0.35">
      <c r="A89" t="s">
        <v>205</v>
      </c>
      <c r="B89" t="s">
        <v>70</v>
      </c>
      <c r="C89">
        <f>AVERAGE(Score_Calculations!C89:J89)*20</f>
        <v>8.125</v>
      </c>
      <c r="D89">
        <f>AVERAGE(Score_Calculations!K89:O89)*20</f>
        <v>14</v>
      </c>
      <c r="E89">
        <f>AVERAGE(Score_Calculations!P89:V89)*30</f>
        <v>18.214285714285712</v>
      </c>
      <c r="F89">
        <f>AVERAGE(Score_Calculations!W89:AA89)*15</f>
        <v>7.5</v>
      </c>
      <c r="G89">
        <f>AVERAGE(Score_Calculations!AB89:AF89)*15</f>
        <v>8.25</v>
      </c>
    </row>
    <row r="90" spans="1:7" x14ac:dyDescent="0.35">
      <c r="A90" t="s">
        <v>201</v>
      </c>
      <c r="B90" t="s">
        <v>200</v>
      </c>
      <c r="C90">
        <f>AVERAGE(Score_Calculations!C90:J90)*20</f>
        <v>15</v>
      </c>
      <c r="D90">
        <f>AVERAGE(Score_Calculations!K90:O90)*20</f>
        <v>12.5</v>
      </c>
      <c r="E90">
        <f>AVERAGE(Score_Calculations!P90:V90)*30</f>
        <v>13.928571428571429</v>
      </c>
      <c r="F90">
        <f>AVERAGE(Score_Calculations!W90:AA90)*15</f>
        <v>6.75</v>
      </c>
      <c r="G90">
        <f>AVERAGE(Score_Calculations!AB90:AF90)*15</f>
        <v>10.3125</v>
      </c>
    </row>
    <row r="91" spans="1:7" x14ac:dyDescent="0.35">
      <c r="A91" t="s">
        <v>199</v>
      </c>
      <c r="B91" t="s">
        <v>198</v>
      </c>
      <c r="C91">
        <f>AVERAGE(Score_Calculations!C91:J91)*20</f>
        <v>16.25</v>
      </c>
      <c r="D91">
        <f>AVERAGE(Score_Calculations!K91:O91)*20</f>
        <v>15</v>
      </c>
      <c r="E91">
        <f>AVERAGE(Score_Calculations!P91:V91)*30</f>
        <v>22.5</v>
      </c>
      <c r="F91">
        <f>AVERAGE(Score_Calculations!W91:AA91)*15</f>
        <v>6.75</v>
      </c>
      <c r="G91">
        <f>AVERAGE(Score_Calculations!AB91:AF91)*15</f>
        <v>13.5</v>
      </c>
    </row>
    <row r="92" spans="1:7" x14ac:dyDescent="0.35">
      <c r="A92" t="s">
        <v>194</v>
      </c>
      <c r="B92" t="s">
        <v>193</v>
      </c>
      <c r="C92">
        <f>AVERAGE(Score_Calculations!C92:J92)*20</f>
        <v>16.875</v>
      </c>
      <c r="D92">
        <f>AVERAGE(Score_Calculations!K92:O92)*20</f>
        <v>17</v>
      </c>
      <c r="E92">
        <f>AVERAGE(Score_Calculations!P92:V92)*30</f>
        <v>18.214285714285712</v>
      </c>
      <c r="F92">
        <f>AVERAGE(Score_Calculations!W92:AA92)*15</f>
        <v>8.25</v>
      </c>
      <c r="G92">
        <f>AVERAGE(Score_Calculations!AB92:AF92)*15</f>
        <v>14.25</v>
      </c>
    </row>
    <row r="93" spans="1:7" x14ac:dyDescent="0.35">
      <c r="A93" t="s">
        <v>192</v>
      </c>
      <c r="B93" t="s">
        <v>191</v>
      </c>
      <c r="C93">
        <f>AVERAGE(Score_Calculations!C93:J93)*20</f>
        <v>13.75</v>
      </c>
      <c r="D93">
        <f>AVERAGE(Score_Calculations!K93:O93)*20</f>
        <v>12</v>
      </c>
      <c r="E93">
        <f>AVERAGE(Score_Calculations!P93:V93)*30</f>
        <v>23.571428571428569</v>
      </c>
      <c r="F93">
        <f>AVERAGE(Score_Calculations!W93:AA93)*15</f>
        <v>3.75</v>
      </c>
      <c r="G93">
        <f>AVERAGE(Score_Calculations!AB93:AF93)*15</f>
        <v>8.25</v>
      </c>
    </row>
    <row r="94" spans="1:7" x14ac:dyDescent="0.35">
      <c r="A94" t="s">
        <v>189</v>
      </c>
      <c r="B94" t="s">
        <v>188</v>
      </c>
      <c r="C94">
        <f>AVERAGE(Score_Calculations!C94:J94)*20</f>
        <v>17.5</v>
      </c>
      <c r="D94">
        <f>AVERAGE(Score_Calculations!K94:O94)*20</f>
        <v>11.25</v>
      </c>
      <c r="E94">
        <f>AVERAGE(Score_Calculations!P94:V94)*30</f>
        <v>19.285714285714288</v>
      </c>
      <c r="F94">
        <f>AVERAGE(Score_Calculations!W94:AA94)*15</f>
        <v>4.5</v>
      </c>
      <c r="G94">
        <f>AVERAGE(Score_Calculations!AB94:AF94)*15</f>
        <v>9.75</v>
      </c>
    </row>
    <row r="95" spans="1:7" x14ac:dyDescent="0.35">
      <c r="A95" t="s">
        <v>187</v>
      </c>
      <c r="B95" t="s">
        <v>176</v>
      </c>
      <c r="C95">
        <f>AVERAGE(Score_Calculations!C95:J95)*20</f>
        <v>16.875</v>
      </c>
      <c r="D95">
        <f>AVERAGE(Score_Calculations!K95:O95)*20</f>
        <v>13</v>
      </c>
      <c r="E95">
        <f>AVERAGE(Score_Calculations!P95:V95)*30</f>
        <v>15</v>
      </c>
      <c r="F95">
        <f>AVERAGE(Score_Calculations!W95:AA95)*15</f>
        <v>10.5</v>
      </c>
      <c r="G95">
        <f>AVERAGE(Score_Calculations!AB95:AF95)*15</f>
        <v>13.5</v>
      </c>
    </row>
    <row r="96" spans="1:7" x14ac:dyDescent="0.35">
      <c r="A96" t="s">
        <v>185</v>
      </c>
      <c r="B96" t="s">
        <v>184</v>
      </c>
      <c r="C96">
        <f>AVERAGE(Score_Calculations!C96:J96)*20</f>
        <v>19.375</v>
      </c>
      <c r="D96">
        <f>AVERAGE(Score_Calculations!K96:O96)*20</f>
        <v>10</v>
      </c>
      <c r="E96">
        <f>AVERAGE(Score_Calculations!P96:V96)*30</f>
        <v>10.714285714285715</v>
      </c>
      <c r="F96">
        <f>AVERAGE(Score_Calculations!W96:AA96)*15</f>
        <v>9</v>
      </c>
      <c r="G96">
        <f>AVERAGE(Score_Calculations!AB96:AF96)*15</f>
        <v>9.75</v>
      </c>
    </row>
    <row r="97" spans="1:7" x14ac:dyDescent="0.35">
      <c r="A97" t="s">
        <v>183</v>
      </c>
      <c r="B97" t="s">
        <v>182</v>
      </c>
      <c r="C97">
        <f>AVERAGE(Score_Calculations!C97:J97)*20</f>
        <v>13.125</v>
      </c>
      <c r="D97">
        <f>AVERAGE(Score_Calculations!K97:O97)*20</f>
        <v>12.5</v>
      </c>
      <c r="E97">
        <f>AVERAGE(Score_Calculations!P97:V97)*30</f>
        <v>12.857142857142856</v>
      </c>
      <c r="F97">
        <f>AVERAGE(Score_Calculations!W97:AA97)*15</f>
        <v>12</v>
      </c>
      <c r="G97">
        <f>AVERAGE(Score_Calculations!AB97:AF97)*15</f>
        <v>12</v>
      </c>
    </row>
    <row r="98" spans="1:7" x14ac:dyDescent="0.35">
      <c r="A98" t="s">
        <v>181</v>
      </c>
      <c r="B98" t="s">
        <v>180</v>
      </c>
      <c r="C98">
        <f>AVERAGE(Score_Calculations!C98:J98)*20</f>
        <v>16.25</v>
      </c>
      <c r="D98">
        <f>AVERAGE(Score_Calculations!K98:O98)*20</f>
        <v>7.5</v>
      </c>
      <c r="E98">
        <f>AVERAGE(Score_Calculations!P98:V98)*30</f>
        <v>22.5</v>
      </c>
      <c r="F98">
        <f>AVERAGE(Score_Calculations!W98:AA98)*15</f>
        <v>10.5</v>
      </c>
      <c r="G98">
        <f>AVERAGE(Score_Calculations!AB98:AF98)*15</f>
        <v>10.5</v>
      </c>
    </row>
    <row r="99" spans="1:7" x14ac:dyDescent="0.35">
      <c r="A99" t="s">
        <v>179</v>
      </c>
      <c r="B99" t="s">
        <v>178</v>
      </c>
      <c r="C99">
        <f>AVERAGE(Score_Calculations!C99:J99)*20</f>
        <v>15</v>
      </c>
      <c r="D99">
        <f>AVERAGE(Score_Calculations!K99:O99)*20</f>
        <v>9</v>
      </c>
      <c r="E99">
        <f>AVERAGE(Score_Calculations!P99:V99)*30</f>
        <v>18.75</v>
      </c>
      <c r="F99">
        <f>AVERAGE(Score_Calculations!W99:AA99)*15</f>
        <v>10.5</v>
      </c>
      <c r="G99">
        <f>AVERAGE(Score_Calculations!AB99:AF99)*15</f>
        <v>14.25</v>
      </c>
    </row>
    <row r="100" spans="1:7" x14ac:dyDescent="0.35">
      <c r="A100" t="s">
        <v>177</v>
      </c>
      <c r="B100" t="s">
        <v>176</v>
      </c>
      <c r="C100">
        <f>AVERAGE(Score_Calculations!C100:J100)*20</f>
        <v>19.375</v>
      </c>
      <c r="D100">
        <f>AVERAGE(Score_Calculations!K100:O100)*20</f>
        <v>7.5</v>
      </c>
      <c r="E100">
        <f>AVERAGE(Score_Calculations!P100:V100)*30</f>
        <v>19.285714285714288</v>
      </c>
      <c r="F100">
        <f>AVERAGE(Score_Calculations!W100:AA100)*15</f>
        <v>7.5</v>
      </c>
      <c r="G100">
        <f>AVERAGE(Score_Calculations!AB100:AF100)*15</f>
        <v>9.75</v>
      </c>
    </row>
    <row r="101" spans="1:7" x14ac:dyDescent="0.35">
      <c r="A101" t="s">
        <v>175</v>
      </c>
      <c r="B101" t="s">
        <v>174</v>
      </c>
      <c r="C101">
        <f>AVERAGE(Score_Calculations!C101:J101)*20</f>
        <v>12.5</v>
      </c>
      <c r="D101">
        <f>AVERAGE(Score_Calculations!K101:O101)*20</f>
        <v>11</v>
      </c>
      <c r="E101">
        <f>AVERAGE(Score_Calculations!P101:V101)*30</f>
        <v>20.357142857142858</v>
      </c>
      <c r="F101">
        <f>AVERAGE(Score_Calculations!W101:AA101)*15</f>
        <v>9.75</v>
      </c>
      <c r="G101">
        <f>AVERAGE(Score_Calculations!AB101:AF101)*15</f>
        <v>10.5</v>
      </c>
    </row>
    <row r="102" spans="1:7" x14ac:dyDescent="0.35">
      <c r="A102" t="s">
        <v>173</v>
      </c>
      <c r="B102" t="s">
        <v>172</v>
      </c>
      <c r="C102">
        <f>AVERAGE(Score_Calculations!C102:J102)*20</f>
        <v>13.125</v>
      </c>
      <c r="D102">
        <f>AVERAGE(Score_Calculations!K102:O102)*20</f>
        <v>16</v>
      </c>
      <c r="E102">
        <f>AVERAGE(Score_Calculations!P102:V102)*30</f>
        <v>23.571428571428569</v>
      </c>
      <c r="F102">
        <f>AVERAGE(Score_Calculations!W102:AA102)*15</f>
        <v>10.5</v>
      </c>
      <c r="G102">
        <f>AVERAGE(Score_Calculations!AB102:AF102)*15</f>
        <v>10.5</v>
      </c>
    </row>
    <row r="103" spans="1:7" x14ac:dyDescent="0.35">
      <c r="A103" t="s">
        <v>171</v>
      </c>
      <c r="B103" t="s">
        <v>170</v>
      </c>
      <c r="C103">
        <f>AVERAGE(Score_Calculations!C103:J103)*20</f>
        <v>9.375</v>
      </c>
      <c r="D103">
        <f>AVERAGE(Score_Calculations!K103:O103)*20</f>
        <v>17.5</v>
      </c>
      <c r="E103">
        <f>AVERAGE(Score_Calculations!P103:V103)*30</f>
        <v>16.071428571428569</v>
      </c>
      <c r="F103">
        <f>AVERAGE(Score_Calculations!W103:AA103)*15</f>
        <v>4.5</v>
      </c>
      <c r="G103">
        <f>AVERAGE(Score_Calculations!AB103:AF103)*15</f>
        <v>12</v>
      </c>
    </row>
    <row r="104" spans="1:7" x14ac:dyDescent="0.35">
      <c r="A104" t="s">
        <v>169</v>
      </c>
      <c r="B104" t="s">
        <v>168</v>
      </c>
      <c r="C104">
        <f>AVERAGE(Score_Calculations!C104:J104)*20</f>
        <v>14.375</v>
      </c>
      <c r="D104">
        <f>AVERAGE(Score_Calculations!K104:O104)*20</f>
        <v>13</v>
      </c>
      <c r="E104">
        <f>AVERAGE(Score_Calculations!P104:V104)*30</f>
        <v>22.5</v>
      </c>
      <c r="F104">
        <f>AVERAGE(Score_Calculations!W104:AA104)*15</f>
        <v>6.75</v>
      </c>
      <c r="G104">
        <f>AVERAGE(Score_Calculations!AB104:AF104)*15</f>
        <v>9</v>
      </c>
    </row>
    <row r="105" spans="1:7" x14ac:dyDescent="0.35">
      <c r="A105" t="s">
        <v>165</v>
      </c>
      <c r="B105" t="s">
        <v>164</v>
      </c>
      <c r="C105">
        <f>AVERAGE(Score_Calculations!C105:J105)*20</f>
        <v>8.75</v>
      </c>
      <c r="D105">
        <f>AVERAGE(Score_Calculations!K105:O105)*20</f>
        <v>8</v>
      </c>
      <c r="E105">
        <f>AVERAGE(Score_Calculations!P105:V105)*30</f>
        <v>20.357142857142858</v>
      </c>
      <c r="F105">
        <f>AVERAGE(Score_Calculations!W105:AA105)*15</f>
        <v>9.75</v>
      </c>
      <c r="G105">
        <f>AVERAGE(Score_Calculations!AB105:AF105)*15</f>
        <v>10.5</v>
      </c>
    </row>
    <row r="106" spans="1:7" x14ac:dyDescent="0.35">
      <c r="A106" t="s">
        <v>162</v>
      </c>
      <c r="B106" t="s">
        <v>161</v>
      </c>
      <c r="C106">
        <f>AVERAGE(Score_Calculations!C106:J106)*20</f>
        <v>15</v>
      </c>
      <c r="D106">
        <f>AVERAGE(Score_Calculations!K106:O106)*20</f>
        <v>8</v>
      </c>
      <c r="E106">
        <f>AVERAGE(Score_Calculations!P106:V106)*30</f>
        <v>17.5</v>
      </c>
      <c r="F106">
        <f>AVERAGE(Score_Calculations!W106:AA106)*15</f>
        <v>6.75</v>
      </c>
      <c r="G106">
        <f>AVERAGE(Score_Calculations!AB106:AF106)*15</f>
        <v>7.5</v>
      </c>
    </row>
    <row r="107" spans="1:7" x14ac:dyDescent="0.35">
      <c r="A107" t="s">
        <v>157</v>
      </c>
      <c r="B107" t="s">
        <v>156</v>
      </c>
      <c r="C107">
        <f>AVERAGE(Score_Calculations!C107:J107)*20</f>
        <v>8.75</v>
      </c>
      <c r="D107">
        <f>AVERAGE(Score_Calculations!K107:O107)*20</f>
        <v>18</v>
      </c>
      <c r="E107">
        <f>AVERAGE(Score_Calculations!P107:V107)*30</f>
        <v>19.285714285714288</v>
      </c>
      <c r="F107">
        <f>AVERAGE(Score_Calculations!W107:AA107)*15</f>
        <v>10.5</v>
      </c>
      <c r="G107">
        <f>AVERAGE(Score_Calculations!AB107:AF107)*15</f>
        <v>8.25</v>
      </c>
    </row>
    <row r="108" spans="1:7" x14ac:dyDescent="0.35">
      <c r="A108" t="s">
        <v>155</v>
      </c>
      <c r="B108" t="s">
        <v>154</v>
      </c>
      <c r="C108">
        <f>AVERAGE(Score_Calculations!C108:J108)*20</f>
        <v>14.375</v>
      </c>
      <c r="D108">
        <f>AVERAGE(Score_Calculations!K108:O108)*20</f>
        <v>10</v>
      </c>
      <c r="E108">
        <f>AVERAGE(Score_Calculations!P108:V108)*30</f>
        <v>21.25</v>
      </c>
      <c r="F108">
        <f>AVERAGE(Score_Calculations!W108:AA108)*15</f>
        <v>9.375</v>
      </c>
      <c r="G108">
        <f>AVERAGE(Score_Calculations!AB108:AF108)*15</f>
        <v>9</v>
      </c>
    </row>
    <row r="109" spans="1:7" x14ac:dyDescent="0.35">
      <c r="A109" t="s">
        <v>153</v>
      </c>
      <c r="B109" t="s">
        <v>152</v>
      </c>
      <c r="C109">
        <f>AVERAGE(Score_Calculations!C109:J109)*20</f>
        <v>13.125</v>
      </c>
      <c r="D109">
        <f>AVERAGE(Score_Calculations!K109:O109)*20</f>
        <v>18</v>
      </c>
      <c r="E109">
        <f>AVERAGE(Score_Calculations!P109:V109)*30</f>
        <v>23.571428571428569</v>
      </c>
      <c r="F109">
        <f>AVERAGE(Score_Calculations!W109:AA109)*15</f>
        <v>13.5</v>
      </c>
      <c r="G109">
        <f>AVERAGE(Score_Calculations!AB109:AF109)*15</f>
        <v>9.75</v>
      </c>
    </row>
    <row r="110" spans="1:7" x14ac:dyDescent="0.35">
      <c r="A110" t="s">
        <v>151</v>
      </c>
      <c r="B110" t="s">
        <v>150</v>
      </c>
      <c r="C110">
        <f>AVERAGE(Score_Calculations!C110:J110)*20</f>
        <v>16.875</v>
      </c>
      <c r="D110">
        <f>AVERAGE(Score_Calculations!K110:O110)*20</f>
        <v>14</v>
      </c>
      <c r="E110">
        <f>AVERAGE(Score_Calculations!P110:V110)*30</f>
        <v>20.357142857142858</v>
      </c>
      <c r="F110">
        <f>AVERAGE(Score_Calculations!W110:AA110)*15</f>
        <v>13.125</v>
      </c>
      <c r="G110">
        <f>AVERAGE(Score_Calculations!AB110:AF110)*15</f>
        <v>12</v>
      </c>
    </row>
    <row r="111" spans="1:7" x14ac:dyDescent="0.35">
      <c r="A111" t="s">
        <v>149</v>
      </c>
      <c r="B111" t="s">
        <v>148</v>
      </c>
      <c r="C111">
        <f>AVERAGE(Score_Calculations!C111:J111)*20</f>
        <v>15.625</v>
      </c>
      <c r="D111">
        <f>AVERAGE(Score_Calculations!K111:O111)*20</f>
        <v>16.25</v>
      </c>
      <c r="E111">
        <f>AVERAGE(Score_Calculations!P111:V111)*30</f>
        <v>21.428571428571431</v>
      </c>
      <c r="F111">
        <f>AVERAGE(Score_Calculations!W111:AA111)*15</f>
        <v>10.5</v>
      </c>
      <c r="G111">
        <f>AVERAGE(Score_Calculations!AB111:AF111)*15</f>
        <v>11.25</v>
      </c>
    </row>
    <row r="112" spans="1:7" x14ac:dyDescent="0.35">
      <c r="A112" t="s">
        <v>147</v>
      </c>
      <c r="B112" t="s">
        <v>146</v>
      </c>
      <c r="C112">
        <f>AVERAGE(Score_Calculations!C112:J112)*20</f>
        <v>10.625</v>
      </c>
      <c r="D112">
        <f>AVERAGE(Score_Calculations!K112:O112)*20</f>
        <v>13.75</v>
      </c>
      <c r="E112">
        <f>AVERAGE(Score_Calculations!P112:V112)*30</f>
        <v>18.214285714285712</v>
      </c>
      <c r="F112">
        <f>AVERAGE(Score_Calculations!W112:AA112)*15</f>
        <v>8.25</v>
      </c>
      <c r="G112">
        <f>AVERAGE(Score_Calculations!AB112:AF112)*15</f>
        <v>11.25</v>
      </c>
    </row>
    <row r="113" spans="1:7" x14ac:dyDescent="0.35">
      <c r="A113" t="s">
        <v>145</v>
      </c>
      <c r="B113" t="s">
        <v>144</v>
      </c>
      <c r="C113">
        <f>AVERAGE(Score_Calculations!C113:J113)*20</f>
        <v>13.75</v>
      </c>
      <c r="D113">
        <f>AVERAGE(Score_Calculations!K113:O113)*20</f>
        <v>9</v>
      </c>
      <c r="E113">
        <f>AVERAGE(Score_Calculations!P113:V113)*30</f>
        <v>18.214285714285712</v>
      </c>
      <c r="F113">
        <f>AVERAGE(Score_Calculations!W113:AA113)*15</f>
        <v>11.25</v>
      </c>
      <c r="G113">
        <f>AVERAGE(Score_Calculations!AB113:AF113)*15</f>
        <v>7.5</v>
      </c>
    </row>
    <row r="114" spans="1:7" x14ac:dyDescent="0.35">
      <c r="A114" t="s">
        <v>142</v>
      </c>
      <c r="B114" t="s">
        <v>141</v>
      </c>
      <c r="C114">
        <f>AVERAGE(Score_Calculations!C114:J114)*20</f>
        <v>12.5</v>
      </c>
      <c r="D114">
        <f>AVERAGE(Score_Calculations!K114:O114)*20</f>
        <v>17</v>
      </c>
      <c r="E114">
        <f>AVERAGE(Score_Calculations!P114:V114)*30</f>
        <v>15</v>
      </c>
      <c r="F114">
        <f>AVERAGE(Score_Calculations!W114:AA114)*15</f>
        <v>14.25</v>
      </c>
      <c r="G114">
        <f>AVERAGE(Score_Calculations!AB114:AF114)*15</f>
        <v>12.75</v>
      </c>
    </row>
    <row r="115" spans="1:7" x14ac:dyDescent="0.35">
      <c r="A115" t="s">
        <v>140</v>
      </c>
      <c r="B115" t="s">
        <v>139</v>
      </c>
      <c r="C115">
        <f>AVERAGE(Score_Calculations!C115:J115)*20</f>
        <v>19.375</v>
      </c>
      <c r="D115">
        <f>AVERAGE(Score_Calculations!K115:O115)*20</f>
        <v>12</v>
      </c>
      <c r="E115">
        <f>AVERAGE(Score_Calculations!P115:V115)*30</f>
        <v>18.214285714285712</v>
      </c>
      <c r="F115">
        <f>AVERAGE(Score_Calculations!W115:AA115)*15</f>
        <v>6.75</v>
      </c>
      <c r="G115">
        <f>AVERAGE(Score_Calculations!AB115:AF115)*15</f>
        <v>9.75</v>
      </c>
    </row>
    <row r="116" spans="1:7" x14ac:dyDescent="0.35">
      <c r="A116" t="s">
        <v>137</v>
      </c>
      <c r="B116" t="s">
        <v>136</v>
      </c>
      <c r="C116">
        <f>AVERAGE(Score_Calculations!C116:J116)*20</f>
        <v>17.5</v>
      </c>
      <c r="D116">
        <f>AVERAGE(Score_Calculations!K116:O116)*20</f>
        <v>7.5</v>
      </c>
      <c r="E116">
        <f>AVERAGE(Score_Calculations!P116:V116)*30</f>
        <v>23.571428571428569</v>
      </c>
      <c r="F116">
        <f>AVERAGE(Score_Calculations!W116:AA116)*15</f>
        <v>6.75</v>
      </c>
      <c r="G116">
        <f>AVERAGE(Score_Calculations!AB116:AF116)*15</f>
        <v>9.75</v>
      </c>
    </row>
    <row r="117" spans="1:7" x14ac:dyDescent="0.35">
      <c r="A117" t="s">
        <v>133</v>
      </c>
      <c r="B117" t="s">
        <v>91</v>
      </c>
      <c r="C117">
        <f>AVERAGE(Score_Calculations!C117:J117)*20</f>
        <v>16.25</v>
      </c>
      <c r="D117">
        <f>AVERAGE(Score_Calculations!K117:O117)*20</f>
        <v>6</v>
      </c>
      <c r="E117">
        <f>AVERAGE(Score_Calculations!P117:V117)*30</f>
        <v>13.928571428571429</v>
      </c>
      <c r="F117">
        <f>AVERAGE(Score_Calculations!W117:AA117)*15</f>
        <v>15</v>
      </c>
      <c r="G117">
        <f>AVERAGE(Score_Calculations!AB117:AF117)*15</f>
        <v>9</v>
      </c>
    </row>
    <row r="118" spans="1:7" x14ac:dyDescent="0.35">
      <c r="A118" t="s">
        <v>131</v>
      </c>
      <c r="B118" t="s">
        <v>130</v>
      </c>
      <c r="C118">
        <f>AVERAGE(Score_Calculations!C118:J118)*20</f>
        <v>17.5</v>
      </c>
      <c r="D118">
        <f>AVERAGE(Score_Calculations!K118:O118)*20</f>
        <v>17</v>
      </c>
      <c r="E118">
        <f>AVERAGE(Score_Calculations!P118:V118)*30</f>
        <v>17.142857142857142</v>
      </c>
      <c r="F118">
        <f>AVERAGE(Score_Calculations!W118:AA118)*15</f>
        <v>13.5</v>
      </c>
      <c r="G118">
        <f>AVERAGE(Score_Calculations!AB118:AF118)*15</f>
        <v>12</v>
      </c>
    </row>
    <row r="119" spans="1:7" x14ac:dyDescent="0.35">
      <c r="A119" t="s">
        <v>128</v>
      </c>
      <c r="B119" t="s">
        <v>127</v>
      </c>
      <c r="C119">
        <f>AVERAGE(Score_Calculations!C119:J119)*20</f>
        <v>13.125</v>
      </c>
      <c r="D119">
        <f>AVERAGE(Score_Calculations!K119:O119)*20</f>
        <v>8</v>
      </c>
      <c r="E119">
        <f>AVERAGE(Score_Calculations!P119:V119)*30</f>
        <v>18.214285714285712</v>
      </c>
      <c r="F119">
        <f>AVERAGE(Score_Calculations!W119:AA119)*15</f>
        <v>12.75</v>
      </c>
      <c r="G119">
        <f>AVERAGE(Score_Calculations!AB119:AF119)*15</f>
        <v>7.5</v>
      </c>
    </row>
    <row r="120" spans="1:7" x14ac:dyDescent="0.35">
      <c r="A120" t="s">
        <v>126</v>
      </c>
      <c r="B120" t="s">
        <v>125</v>
      </c>
      <c r="C120">
        <f>AVERAGE(Score_Calculations!C120:J120)*20</f>
        <v>16.428571428571427</v>
      </c>
      <c r="D120">
        <f>AVERAGE(Score_Calculations!K120:O120)*20</f>
        <v>10</v>
      </c>
      <c r="E120">
        <f>AVERAGE(Score_Calculations!P120:V120)*30</f>
        <v>20</v>
      </c>
      <c r="F120">
        <f>AVERAGE(Score_Calculations!W120:AA120)*15</f>
        <v>6.75</v>
      </c>
      <c r="G120">
        <f>AVERAGE(Score_Calculations!AB120:AF120)*15</f>
        <v>11.25</v>
      </c>
    </row>
    <row r="121" spans="1:7" x14ac:dyDescent="0.35">
      <c r="A121" t="s">
        <v>122</v>
      </c>
      <c r="B121" t="s">
        <v>121</v>
      </c>
      <c r="C121">
        <f>AVERAGE(Score_Calculations!C121:J121)*20</f>
        <v>14.375</v>
      </c>
      <c r="D121">
        <f>AVERAGE(Score_Calculations!K121:O121)*20</f>
        <v>10</v>
      </c>
      <c r="E121">
        <f>AVERAGE(Score_Calculations!P121:V121)*30</f>
        <v>23.571428571428569</v>
      </c>
      <c r="F121">
        <f>AVERAGE(Score_Calculations!W121:AA121)*15</f>
        <v>8.25</v>
      </c>
      <c r="G121">
        <f>AVERAGE(Score_Calculations!AB121:AF121)*15</f>
        <v>10.5</v>
      </c>
    </row>
    <row r="122" spans="1:7" x14ac:dyDescent="0.35">
      <c r="A122" t="s">
        <v>117</v>
      </c>
      <c r="B122" t="s">
        <v>116</v>
      </c>
      <c r="C122">
        <f>AVERAGE(Score_Calculations!C122:J122)*20</f>
        <v>10</v>
      </c>
      <c r="D122">
        <f>AVERAGE(Score_Calculations!K122:O122)*20</f>
        <v>5</v>
      </c>
      <c r="E122">
        <f>AVERAGE(Score_Calculations!P122:V122)*30</f>
        <v>16.071428571428569</v>
      </c>
      <c r="F122">
        <f>AVERAGE(Score_Calculations!W122:AA122)*15</f>
        <v>4.5</v>
      </c>
      <c r="G122">
        <f>AVERAGE(Score_Calculations!AB122:AF122)*15</f>
        <v>7.5</v>
      </c>
    </row>
    <row r="123" spans="1:7" x14ac:dyDescent="0.35">
      <c r="A123" t="s">
        <v>115</v>
      </c>
      <c r="B123" t="s">
        <v>114</v>
      </c>
      <c r="C123">
        <f>AVERAGE(Score_Calculations!C123:J123)*20</f>
        <v>13.75</v>
      </c>
      <c r="D123">
        <f>AVERAGE(Score_Calculations!K123:O123)*20</f>
        <v>10</v>
      </c>
      <c r="E123">
        <f>AVERAGE(Score_Calculations!P123:V123)*30</f>
        <v>11.785714285714285</v>
      </c>
      <c r="F123">
        <f>AVERAGE(Score_Calculations!W123:AA123)*15</f>
        <v>10.3125</v>
      </c>
      <c r="G123">
        <f>AVERAGE(Score_Calculations!AB123:AF123)*15</f>
        <v>13.5</v>
      </c>
    </row>
    <row r="124" spans="1:7" x14ac:dyDescent="0.35">
      <c r="A124" t="s">
        <v>113</v>
      </c>
      <c r="B124" t="s">
        <v>112</v>
      </c>
      <c r="C124">
        <f>AVERAGE(Score_Calculations!C124:J124)*20</f>
        <v>13.75</v>
      </c>
      <c r="D124">
        <f>AVERAGE(Score_Calculations!K124:O124)*20</f>
        <v>15</v>
      </c>
      <c r="E124">
        <f>AVERAGE(Score_Calculations!P124:V124)*30</f>
        <v>11.785714285714285</v>
      </c>
      <c r="F124">
        <f>AVERAGE(Score_Calculations!W124:AA124)*15</f>
        <v>4.5</v>
      </c>
      <c r="G124">
        <f>AVERAGE(Score_Calculations!AB124:AF124)*15</f>
        <v>8.25</v>
      </c>
    </row>
    <row r="125" spans="1:7" x14ac:dyDescent="0.35">
      <c r="A125" t="s">
        <v>111</v>
      </c>
      <c r="B125" t="s">
        <v>110</v>
      </c>
      <c r="C125">
        <f>AVERAGE(Score_Calculations!C125:J125)*20</f>
        <v>6.875</v>
      </c>
      <c r="D125">
        <f>AVERAGE(Score_Calculations!K125:O125)*20</f>
        <v>6</v>
      </c>
      <c r="E125">
        <f>AVERAGE(Score_Calculations!P125:V125)*30</f>
        <v>12.857142857142856</v>
      </c>
      <c r="F125">
        <f>AVERAGE(Score_Calculations!W125:AA125)*15</f>
        <v>9</v>
      </c>
      <c r="G125">
        <f>AVERAGE(Score_Calculations!AB125:AF125)*15</f>
        <v>8.25</v>
      </c>
    </row>
    <row r="126" spans="1:7" x14ac:dyDescent="0.35">
      <c r="A126" t="s">
        <v>109</v>
      </c>
      <c r="B126" t="s">
        <v>108</v>
      </c>
      <c r="C126">
        <f>AVERAGE(Score_Calculations!C126:J126)*20</f>
        <v>11.25</v>
      </c>
      <c r="D126">
        <f>AVERAGE(Score_Calculations!K126:O126)*20</f>
        <v>5</v>
      </c>
      <c r="E126">
        <f>AVERAGE(Score_Calculations!P126:V126)*30</f>
        <v>18.214285714285712</v>
      </c>
      <c r="F126">
        <f>AVERAGE(Score_Calculations!W126:AA126)*15</f>
        <v>11.25</v>
      </c>
      <c r="G126">
        <f>AVERAGE(Score_Calculations!AB126:AF126)*15</f>
        <v>10.5</v>
      </c>
    </row>
    <row r="127" spans="1:7" x14ac:dyDescent="0.35">
      <c r="A127" t="s">
        <v>107</v>
      </c>
      <c r="B127" t="s">
        <v>106</v>
      </c>
      <c r="C127">
        <f>AVERAGE(Score_Calculations!C127:J127)*20</f>
        <v>11.428571428571427</v>
      </c>
      <c r="D127">
        <f>AVERAGE(Score_Calculations!K127:O127)*20</f>
        <v>7</v>
      </c>
      <c r="E127">
        <f>AVERAGE(Score_Calculations!P127:V127)*30</f>
        <v>9.6428571428571441</v>
      </c>
      <c r="F127">
        <f>AVERAGE(Score_Calculations!W127:AA127)*15</f>
        <v>7.5</v>
      </c>
      <c r="G127">
        <f>AVERAGE(Score_Calculations!AB127:AF127)*15</f>
        <v>12</v>
      </c>
    </row>
    <row r="128" spans="1:7" x14ac:dyDescent="0.35">
      <c r="A128" t="s">
        <v>105</v>
      </c>
      <c r="B128" t="s">
        <v>104</v>
      </c>
      <c r="C128">
        <f>AVERAGE(Score_Calculations!C128:J128)*20</f>
        <v>10</v>
      </c>
      <c r="D128">
        <f>AVERAGE(Score_Calculations!K128:O128)*20</f>
        <v>7</v>
      </c>
      <c r="E128">
        <f>AVERAGE(Score_Calculations!P128:V128)*30</f>
        <v>7.5</v>
      </c>
      <c r="F128">
        <f>AVERAGE(Score_Calculations!W128:AA128)*15</f>
        <v>9</v>
      </c>
      <c r="G128">
        <f>AVERAGE(Score_Calculations!AB128:AF128)*15</f>
        <v>9.75</v>
      </c>
    </row>
    <row r="129" spans="1:7" x14ac:dyDescent="0.35">
      <c r="A129" t="s">
        <v>103</v>
      </c>
      <c r="B129" t="s">
        <v>52</v>
      </c>
      <c r="C129">
        <f>AVERAGE(Score_Calculations!C129:J129)*20</f>
        <v>14.375</v>
      </c>
      <c r="D129">
        <f>AVERAGE(Score_Calculations!K129:O129)*20</f>
        <v>6</v>
      </c>
      <c r="E129">
        <f>AVERAGE(Score_Calculations!P129:V129)*30</f>
        <v>9.6428571428571441</v>
      </c>
      <c r="F129">
        <f>AVERAGE(Score_Calculations!W129:AA129)*15</f>
        <v>7.5</v>
      </c>
      <c r="G129">
        <f>AVERAGE(Score_Calculations!AB129:AF129)*15</f>
        <v>11.25</v>
      </c>
    </row>
    <row r="130" spans="1:7" x14ac:dyDescent="0.35">
      <c r="A130" t="s">
        <v>102</v>
      </c>
      <c r="B130" t="s">
        <v>101</v>
      </c>
      <c r="C130">
        <f>AVERAGE(Score_Calculations!C130:J130)*20</f>
        <v>13.75</v>
      </c>
      <c r="D130">
        <f>AVERAGE(Score_Calculations!K130:O130)*20</f>
        <v>4</v>
      </c>
      <c r="E130">
        <f>AVERAGE(Score_Calculations!P130:V130)*30</f>
        <v>12.857142857142856</v>
      </c>
      <c r="F130">
        <f>AVERAGE(Score_Calculations!W130:AA130)*15</f>
        <v>8.25</v>
      </c>
      <c r="G130">
        <f>AVERAGE(Score_Calculations!AB130:AF130)*15</f>
        <v>12</v>
      </c>
    </row>
    <row r="131" spans="1:7" x14ac:dyDescent="0.35">
      <c r="A131" t="s">
        <v>100</v>
      </c>
      <c r="B131" t="s">
        <v>99</v>
      </c>
      <c r="C131">
        <f>AVERAGE(Score_Calculations!C131:J131)*20</f>
        <v>10.625</v>
      </c>
      <c r="D131">
        <f>AVERAGE(Score_Calculations!K131:O131)*20</f>
        <v>10</v>
      </c>
      <c r="E131">
        <f>AVERAGE(Score_Calculations!P131:V131)*30</f>
        <v>15</v>
      </c>
      <c r="F131">
        <f>AVERAGE(Score_Calculations!W131:AA131)*15</f>
        <v>11.25</v>
      </c>
      <c r="G131">
        <f>AVERAGE(Score_Calculations!AB131:AF131)*15</f>
        <v>12</v>
      </c>
    </row>
    <row r="132" spans="1:7" x14ac:dyDescent="0.35">
      <c r="A132" t="s">
        <v>97</v>
      </c>
      <c r="B132" t="s">
        <v>96</v>
      </c>
      <c r="C132">
        <f>AVERAGE(Score_Calculations!C132:J132)*20</f>
        <v>15.625</v>
      </c>
      <c r="D132">
        <f>AVERAGE(Score_Calculations!K132:O132)*20</f>
        <v>12.5</v>
      </c>
      <c r="E132">
        <f>AVERAGE(Score_Calculations!P132:V132)*30</f>
        <v>15</v>
      </c>
      <c r="F132">
        <f>AVERAGE(Score_Calculations!W132:AA132)*15</f>
        <v>3.75</v>
      </c>
      <c r="G132">
        <f>AVERAGE(Score_Calculations!AB132:AF132)*15</f>
        <v>11.25</v>
      </c>
    </row>
    <row r="133" spans="1:7" x14ac:dyDescent="0.35">
      <c r="A133" t="s">
        <v>94</v>
      </c>
      <c r="B133" t="s">
        <v>93</v>
      </c>
      <c r="C133">
        <f>AVERAGE(Score_Calculations!C133:J133)*20</f>
        <v>6.875</v>
      </c>
      <c r="D133">
        <f>AVERAGE(Score_Calculations!K133:O133)*20</f>
        <v>8</v>
      </c>
      <c r="E133">
        <f>AVERAGE(Score_Calculations!P133:V133)*30</f>
        <v>6.4285714285714279</v>
      </c>
      <c r="F133">
        <f>AVERAGE(Score_Calculations!W133:AA133)*15</f>
        <v>9.75</v>
      </c>
      <c r="G133">
        <f>AVERAGE(Score_Calculations!AB133:AF133)*15</f>
        <v>10.5</v>
      </c>
    </row>
    <row r="134" spans="1:7" x14ac:dyDescent="0.35">
      <c r="A134" t="s">
        <v>92</v>
      </c>
      <c r="B134" t="s">
        <v>91</v>
      </c>
      <c r="C134">
        <f>AVERAGE(Score_Calculations!C134:J134)*20</f>
        <v>10.625</v>
      </c>
      <c r="D134">
        <f>AVERAGE(Score_Calculations!K134:O134)*20</f>
        <v>10</v>
      </c>
      <c r="E134">
        <f>AVERAGE(Score_Calculations!P134:V134)*30</f>
        <v>17.142857142857142</v>
      </c>
      <c r="F134">
        <f>AVERAGE(Score_Calculations!W134:AA134)*15</f>
        <v>9</v>
      </c>
      <c r="G134">
        <f>AVERAGE(Score_Calculations!AB134:AF134)*15</f>
        <v>10.5</v>
      </c>
    </row>
    <row r="135" spans="1:7" x14ac:dyDescent="0.35">
      <c r="A135" t="s">
        <v>89</v>
      </c>
      <c r="B135" t="s">
        <v>88</v>
      </c>
      <c r="C135">
        <f>AVERAGE(Score_Calculations!C135:J135)*20</f>
        <v>10.625</v>
      </c>
      <c r="D135">
        <f>AVERAGE(Score_Calculations!K135:O135)*20</f>
        <v>10</v>
      </c>
      <c r="E135">
        <f>AVERAGE(Score_Calculations!P135:V135)*30</f>
        <v>15</v>
      </c>
      <c r="F135">
        <f>AVERAGE(Score_Calculations!W135:AA135)*15</f>
        <v>8.25</v>
      </c>
      <c r="G135">
        <f>AVERAGE(Score_Calculations!AB135:AF135)*15</f>
        <v>12.75</v>
      </c>
    </row>
    <row r="136" spans="1:7" x14ac:dyDescent="0.35">
      <c r="A136" t="s">
        <v>86</v>
      </c>
      <c r="B136" t="s">
        <v>85</v>
      </c>
      <c r="C136">
        <f>AVERAGE(Score_Calculations!C136:J136)*20</f>
        <v>16.25</v>
      </c>
      <c r="D136">
        <f>AVERAGE(Score_Calculations!K136:O136)*20</f>
        <v>7</v>
      </c>
      <c r="E136">
        <f>AVERAGE(Score_Calculations!P136:V136)*30</f>
        <v>9.6428571428571441</v>
      </c>
      <c r="F136">
        <f>AVERAGE(Score_Calculations!W136:AA136)*15</f>
        <v>6.5625</v>
      </c>
      <c r="G136">
        <f>AVERAGE(Score_Calculations!AB136:AF136)*15</f>
        <v>9.75</v>
      </c>
    </row>
    <row r="137" spans="1:7" x14ac:dyDescent="0.35">
      <c r="A137" t="s">
        <v>81</v>
      </c>
      <c r="B137" t="s">
        <v>80</v>
      </c>
      <c r="C137">
        <f>AVERAGE(Score_Calculations!C137:J137)*20</f>
        <v>14.375</v>
      </c>
      <c r="D137">
        <f>AVERAGE(Score_Calculations!K137:O137)*20</f>
        <v>4</v>
      </c>
      <c r="E137">
        <f>AVERAGE(Score_Calculations!P137:V137)*30</f>
        <v>18.214285714285712</v>
      </c>
      <c r="F137">
        <f>AVERAGE(Score_Calculations!W137:AA137)*15</f>
        <v>9.75</v>
      </c>
      <c r="G137">
        <f>AVERAGE(Score_Calculations!AB137:AF137)*15</f>
        <v>13.5</v>
      </c>
    </row>
    <row r="138" spans="1:7" x14ac:dyDescent="0.35">
      <c r="A138" t="s">
        <v>78</v>
      </c>
      <c r="B138" t="s">
        <v>77</v>
      </c>
      <c r="C138">
        <f>AVERAGE(Score_Calculations!C138:J138)*20</f>
        <v>15.625</v>
      </c>
      <c r="D138">
        <f>AVERAGE(Score_Calculations!K138:O138)*20</f>
        <v>5</v>
      </c>
      <c r="E138">
        <f>AVERAGE(Score_Calculations!P138:V138)*30</f>
        <v>13.928571428571429</v>
      </c>
      <c r="F138">
        <f>AVERAGE(Score_Calculations!W138:AA138)*15</f>
        <v>6.75</v>
      </c>
      <c r="G138">
        <f>AVERAGE(Score_Calculations!AB138:AF138)*15</f>
        <v>9</v>
      </c>
    </row>
    <row r="139" spans="1:7" x14ac:dyDescent="0.35">
      <c r="A139" t="s">
        <v>76</v>
      </c>
      <c r="B139" t="s">
        <v>75</v>
      </c>
      <c r="C139">
        <f>AVERAGE(Score_Calculations!C139:J139)*20</f>
        <v>11.25</v>
      </c>
      <c r="D139">
        <f>AVERAGE(Score_Calculations!K139:O139)*20</f>
        <v>10</v>
      </c>
      <c r="E139">
        <f>AVERAGE(Score_Calculations!P139:V139)*30</f>
        <v>6.4285714285714279</v>
      </c>
      <c r="F139">
        <f>AVERAGE(Score_Calculations!W139:AA139)*15</f>
        <v>6.75</v>
      </c>
      <c r="G139">
        <f>AVERAGE(Score_Calculations!AB139:AF139)*15</f>
        <v>14.25</v>
      </c>
    </row>
    <row r="140" spans="1:7" x14ac:dyDescent="0.35">
      <c r="A140" t="s">
        <v>74</v>
      </c>
      <c r="B140" t="s">
        <v>73</v>
      </c>
      <c r="C140">
        <f>AVERAGE(Score_Calculations!C140:J140)*20</f>
        <v>13.75</v>
      </c>
      <c r="D140">
        <f>AVERAGE(Score_Calculations!K140:O140)*20</f>
        <v>8</v>
      </c>
      <c r="E140">
        <f>AVERAGE(Score_Calculations!P140:V140)*30</f>
        <v>13.928571428571429</v>
      </c>
      <c r="F140">
        <f>AVERAGE(Score_Calculations!W140:AA140)*15</f>
        <v>6.75</v>
      </c>
      <c r="G140">
        <f>AVERAGE(Score_Calculations!AB140:AF140)*15</f>
        <v>15</v>
      </c>
    </row>
    <row r="141" spans="1:7" x14ac:dyDescent="0.35">
      <c r="A141" t="s">
        <v>71</v>
      </c>
      <c r="B141" t="s">
        <v>70</v>
      </c>
      <c r="C141">
        <f>AVERAGE(Score_Calculations!C141:J141)*20</f>
        <v>14.375</v>
      </c>
      <c r="D141">
        <f>AVERAGE(Score_Calculations!K141:O141)*20</f>
        <v>4</v>
      </c>
      <c r="E141">
        <f>AVERAGE(Score_Calculations!P141:V141)*30</f>
        <v>16.071428571428569</v>
      </c>
      <c r="F141">
        <f>AVERAGE(Score_Calculations!W141:AA141)*15</f>
        <v>6</v>
      </c>
      <c r="G141">
        <f>AVERAGE(Score_Calculations!AB141:AF141)*15</f>
        <v>11.25</v>
      </c>
    </row>
    <row r="142" spans="1:7" x14ac:dyDescent="0.35">
      <c r="A142" t="s">
        <v>69</v>
      </c>
      <c r="B142" t="s">
        <v>68</v>
      </c>
      <c r="C142">
        <f>AVERAGE(Score_Calculations!C142:J142)*20</f>
        <v>8.75</v>
      </c>
      <c r="D142">
        <f>AVERAGE(Score_Calculations!K142:O142)*20</f>
        <v>4</v>
      </c>
      <c r="E142">
        <f>AVERAGE(Score_Calculations!P142:V142)*30</f>
        <v>11.785714285714285</v>
      </c>
      <c r="F142">
        <f>AVERAGE(Score_Calculations!W142:AA142)*15</f>
        <v>8.25</v>
      </c>
      <c r="G142">
        <f>AVERAGE(Score_Calculations!AB142:AF142)*15</f>
        <v>9</v>
      </c>
    </row>
    <row r="143" spans="1:7" x14ac:dyDescent="0.35">
      <c r="A143" t="s">
        <v>64</v>
      </c>
      <c r="B143" t="s">
        <v>63</v>
      </c>
      <c r="C143">
        <f>AVERAGE(Score_Calculations!C143:J143)*20</f>
        <v>15.714285714285714</v>
      </c>
      <c r="D143">
        <f>AVERAGE(Score_Calculations!K143:O143)*20</f>
        <v>9</v>
      </c>
      <c r="E143">
        <f>AVERAGE(Score_Calculations!P143:V143)*30</f>
        <v>18.214285714285712</v>
      </c>
      <c r="F143">
        <f>AVERAGE(Score_Calculations!W143:AA143)*15</f>
        <v>4.5</v>
      </c>
      <c r="G143">
        <f>AVERAGE(Score_Calculations!AB143:AF143)*15</f>
        <v>7.5</v>
      </c>
    </row>
    <row r="144" spans="1:7" x14ac:dyDescent="0.35">
      <c r="A144" t="s">
        <v>59</v>
      </c>
      <c r="B144" t="s">
        <v>58</v>
      </c>
      <c r="C144">
        <f>AVERAGE(Score_Calculations!C144:J144)*20</f>
        <v>5</v>
      </c>
      <c r="D144">
        <f>AVERAGE(Score_Calculations!K144:O144)*20</f>
        <v>12</v>
      </c>
      <c r="E144">
        <f>AVERAGE(Score_Calculations!P144:V144)*30</f>
        <v>8.75</v>
      </c>
      <c r="F144">
        <f>AVERAGE(Score_Calculations!W144:AA144)*15</f>
        <v>8.25</v>
      </c>
      <c r="G144">
        <f>AVERAGE(Score_Calculations!AB144:AF144)*15</f>
        <v>14.25</v>
      </c>
    </row>
    <row r="145" spans="1:7" x14ac:dyDescent="0.35">
      <c r="A145" t="s">
        <v>53</v>
      </c>
      <c r="B145" t="s">
        <v>52</v>
      </c>
      <c r="C145">
        <f>AVERAGE(Score_Calculations!C145:J145)*20</f>
        <v>8.75</v>
      </c>
      <c r="D145">
        <f>AVERAGE(Score_Calculations!K145:O145)*20</f>
        <v>10</v>
      </c>
      <c r="E145">
        <f>AVERAGE(Score_Calculations!P145:V145)*30</f>
        <v>13.928571428571429</v>
      </c>
      <c r="F145">
        <f>AVERAGE(Score_Calculations!W145:AA145)*15</f>
        <v>8.4375</v>
      </c>
      <c r="G145">
        <f>AVERAGE(Score_Calculations!AB145:AF145)*15</f>
        <v>9.75</v>
      </c>
    </row>
    <row r="146" spans="1:7" x14ac:dyDescent="0.35">
      <c r="A146" t="s">
        <v>47</v>
      </c>
      <c r="B146" t="s">
        <v>46</v>
      </c>
      <c r="C146">
        <f>AVERAGE(Score_Calculations!C146:J146)*20</f>
        <v>11.25</v>
      </c>
      <c r="D146">
        <f>AVERAGE(Score_Calculations!K146:O146)*20</f>
        <v>8</v>
      </c>
      <c r="E146">
        <f>AVERAGE(Score_Calculations!P146:V146)*30</f>
        <v>7.5</v>
      </c>
      <c r="F146">
        <f>AVERAGE(Score_Calculations!W146:AA146)*15</f>
        <v>4.5</v>
      </c>
      <c r="G146">
        <f>AVERAGE(Score_Calculations!AB146:AF146)*15</f>
        <v>8.25</v>
      </c>
    </row>
    <row r="147" spans="1:7" x14ac:dyDescent="0.35">
      <c r="A147" t="s">
        <v>41</v>
      </c>
      <c r="B147" t="s">
        <v>40</v>
      </c>
      <c r="C147">
        <f>AVERAGE(Score_Calculations!C147:J147)*20</f>
        <v>17.5</v>
      </c>
      <c r="D147">
        <f>AVERAGE(Score_Calculations!K147:O147)*20</f>
        <v>9</v>
      </c>
      <c r="E147">
        <f>AVERAGE(Score_Calculations!P147:V147)*30</f>
        <v>15</v>
      </c>
      <c r="F147">
        <f>AVERAGE(Score_Calculations!W147:AA147)*15</f>
        <v>12.75</v>
      </c>
      <c r="G147">
        <f>AVERAGE(Score_Calculations!AB147:AF147)*15</f>
        <v>12</v>
      </c>
    </row>
    <row r="148" spans="1:7" x14ac:dyDescent="0.35">
      <c r="A148" t="s">
        <v>37</v>
      </c>
      <c r="B148" t="s">
        <v>36</v>
      </c>
      <c r="C148">
        <f>AVERAGE(Score_Calculations!C148:J148)*20</f>
        <v>14.375</v>
      </c>
      <c r="D148">
        <f>AVERAGE(Score_Calculations!K148:O148)*20</f>
        <v>11</v>
      </c>
      <c r="E148">
        <f>AVERAGE(Score_Calculations!P148:V148)*30</f>
        <v>24.642857142857142</v>
      </c>
      <c r="F148">
        <f>AVERAGE(Score_Calculations!W148:AA148)*15</f>
        <v>6</v>
      </c>
      <c r="G148">
        <f>AVERAGE(Score_Calculations!AB148:AF148)*15</f>
        <v>12</v>
      </c>
    </row>
    <row r="149" spans="1:7" x14ac:dyDescent="0.35">
      <c r="A149" t="s">
        <v>31</v>
      </c>
      <c r="B149" t="s">
        <v>30</v>
      </c>
      <c r="C149">
        <f>AVERAGE(Score_Calculations!C149:J149)*20</f>
        <v>11.25</v>
      </c>
      <c r="D149">
        <f>AVERAGE(Score_Calculations!K149:O149)*20</f>
        <v>13</v>
      </c>
      <c r="E149">
        <f>AVERAGE(Score_Calculations!P149:V149)*30</f>
        <v>16.071428571428569</v>
      </c>
      <c r="F149">
        <f>AVERAGE(Score_Calculations!W149:AA149)*15</f>
        <v>6.75</v>
      </c>
      <c r="G149">
        <f>AVERAGE(Score_Calculations!AB149:AF149)*15</f>
        <v>12.75</v>
      </c>
    </row>
    <row r="150" spans="1:7" x14ac:dyDescent="0.35">
      <c r="A150" t="s">
        <v>27</v>
      </c>
      <c r="B150" t="s">
        <v>26</v>
      </c>
      <c r="C150">
        <f>AVERAGE(Score_Calculations!C150:J150)*20</f>
        <v>16.25</v>
      </c>
      <c r="D150">
        <f>AVERAGE(Score_Calculations!K150:O150)*20</f>
        <v>14</v>
      </c>
      <c r="E150">
        <f>AVERAGE(Score_Calculations!P150:V150)*30</f>
        <v>13.928571428571429</v>
      </c>
      <c r="F150">
        <f>AVERAGE(Score_Calculations!W150:AA150)*15</f>
        <v>13.5</v>
      </c>
      <c r="G150">
        <f>AVERAGE(Score_Calculations!AB150:AF150)*15</f>
        <v>12</v>
      </c>
    </row>
    <row r="151" spans="1:7" x14ac:dyDescent="0.35">
      <c r="A151" t="s">
        <v>17</v>
      </c>
      <c r="B151" t="s">
        <v>16</v>
      </c>
      <c r="C151">
        <f>AVERAGE(Score_Calculations!C151:J151)*20</f>
        <v>12.857142857142858</v>
      </c>
      <c r="D151">
        <f>AVERAGE(Score_Calculations!K151:O151)*20</f>
        <v>13</v>
      </c>
      <c r="E151">
        <f>AVERAGE(Score_Calculations!P151:V151)*30</f>
        <v>13.928571428571429</v>
      </c>
      <c r="F151">
        <f>AVERAGE(Score_Calculations!W151:AA151)*15</f>
        <v>7.5</v>
      </c>
      <c r="G151">
        <f>AVERAGE(Score_Calculations!AB151:AF151)*15</f>
        <v>10.5</v>
      </c>
    </row>
  </sheetData>
  <autoFilter ref="A1:G151" xr:uid="{E00DE9BA-D9DD-4640-98ED-69EE4DD7EC1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5A06-BEF0-43BD-B041-BED26388829E}">
  <dimension ref="A1:J151"/>
  <sheetViews>
    <sheetView tabSelected="1" workbookViewId="0">
      <selection activeCell="C7" sqref="C7"/>
    </sheetView>
  </sheetViews>
  <sheetFormatPr defaultRowHeight="14.5" x14ac:dyDescent="0.35"/>
  <cols>
    <col min="1" max="1" width="10.7265625" customWidth="1"/>
    <col min="2" max="2" width="13.26953125" customWidth="1"/>
    <col min="3" max="3" width="23" customWidth="1"/>
    <col min="4" max="4" width="19.453125" customWidth="1"/>
    <col min="5" max="5" width="20.7265625" customWidth="1"/>
    <col min="6" max="6" width="20.81640625" customWidth="1"/>
    <col min="7" max="7" width="20.1796875" customWidth="1"/>
    <col min="8" max="8" width="17.36328125" customWidth="1"/>
    <col min="9" max="9" width="20.81640625" customWidth="1"/>
    <col min="10" max="10" width="16.54296875" customWidth="1"/>
  </cols>
  <sheetData>
    <row r="1" spans="1:10" x14ac:dyDescent="0.35">
      <c r="A1" t="s">
        <v>427</v>
      </c>
      <c r="B1" t="s">
        <v>426</v>
      </c>
      <c r="C1" t="s">
        <v>428</v>
      </c>
      <c r="D1" t="s">
        <v>433</v>
      </c>
      <c r="E1" t="s">
        <v>430</v>
      </c>
      <c r="F1" t="s">
        <v>431</v>
      </c>
      <c r="G1" t="s">
        <v>432</v>
      </c>
      <c r="H1" t="s">
        <v>434</v>
      </c>
      <c r="I1" t="s">
        <v>435</v>
      </c>
      <c r="J1" t="s">
        <v>436</v>
      </c>
    </row>
    <row r="2" spans="1:10" x14ac:dyDescent="0.35">
      <c r="A2" t="s">
        <v>354</v>
      </c>
      <c r="B2" t="s">
        <v>353</v>
      </c>
      <c r="C2">
        <v>17.5</v>
      </c>
      <c r="D2">
        <v>20</v>
      </c>
      <c r="E2">
        <v>30</v>
      </c>
      <c r="F2">
        <v>10.5</v>
      </c>
      <c r="G2">
        <v>12</v>
      </c>
      <c r="H2">
        <f t="shared" ref="H2:H33" si="0">SUM(C2:G2)</f>
        <v>90</v>
      </c>
      <c r="I2">
        <f>_xlfn.RANK.EQ(H2,$H$2:$H$151,0)</f>
        <v>1</v>
      </c>
      <c r="J2" t="str" cm="1">
        <f t="array" ref="J2">_xlfn.IFS(
H2&gt;=80," Investment Ready",
H2&gt;=60," Emerging Potential",
H2&gt;=40," Needs Capacity Support ",
TRUE,"High Risk")</f>
        <v xml:space="preserve"> Investment Ready</v>
      </c>
    </row>
    <row r="3" spans="1:10" x14ac:dyDescent="0.35">
      <c r="A3" t="s">
        <v>315</v>
      </c>
      <c r="B3" t="s">
        <v>314</v>
      </c>
      <c r="C3">
        <v>20</v>
      </c>
      <c r="D3">
        <v>19</v>
      </c>
      <c r="E3">
        <v>27.857142857142858</v>
      </c>
      <c r="F3">
        <v>12.75</v>
      </c>
      <c r="G3">
        <v>9</v>
      </c>
      <c r="H3">
        <f t="shared" si="0"/>
        <v>88.607142857142861</v>
      </c>
      <c r="I3">
        <f t="shared" ref="I3:I33" si="1">_xlfn.RANK.EQ(H3,$H$2:$H$151,0)</f>
        <v>2</v>
      </c>
      <c r="J3" t="str" cm="1">
        <f t="array" ref="J3">_xlfn.IFS(
H3&gt;=80," Investment Ready",
H3&gt;=60," Emerging Potential",
H3&gt;=40," Needs Capacity Support ",
TRUE,"High Risk")</f>
        <v xml:space="preserve"> Investment Ready</v>
      </c>
    </row>
    <row r="4" spans="1:10" x14ac:dyDescent="0.35">
      <c r="A4" t="s">
        <v>308</v>
      </c>
      <c r="B4" t="s">
        <v>307</v>
      </c>
      <c r="C4">
        <v>20</v>
      </c>
      <c r="D4">
        <v>19</v>
      </c>
      <c r="E4">
        <v>25.714285714285712</v>
      </c>
      <c r="F4">
        <v>15</v>
      </c>
      <c r="G4">
        <v>8.25</v>
      </c>
      <c r="H4">
        <f t="shared" si="0"/>
        <v>87.964285714285708</v>
      </c>
      <c r="I4">
        <f t="shared" si="1"/>
        <v>3</v>
      </c>
      <c r="J4" t="str" cm="1">
        <f t="array" ref="J4">_xlfn.IFS(
H4&gt;=80," Investment Ready",
H4&gt;=60," Emerging Potential",
H4&gt;=40," Needs Capacity Support ",
TRUE,"High Risk")</f>
        <v xml:space="preserve"> Investment Ready</v>
      </c>
    </row>
    <row r="5" spans="1:10" x14ac:dyDescent="0.35">
      <c r="A5" t="s">
        <v>346</v>
      </c>
      <c r="B5" t="s">
        <v>307</v>
      </c>
      <c r="C5">
        <v>16.875</v>
      </c>
      <c r="D5">
        <v>19</v>
      </c>
      <c r="E5">
        <v>27.857142857142858</v>
      </c>
      <c r="F5">
        <v>12.75</v>
      </c>
      <c r="G5">
        <v>11.25</v>
      </c>
      <c r="H5">
        <f t="shared" si="0"/>
        <v>87.732142857142861</v>
      </c>
      <c r="I5">
        <f t="shared" si="1"/>
        <v>4</v>
      </c>
      <c r="J5" t="str" cm="1">
        <f t="array" ref="J5">_xlfn.IFS(
H5&gt;=80," Investment Ready",
H5&gt;=60," Emerging Potential",
H5&gt;=40," Needs Capacity Support ",
TRUE,"High Risk")</f>
        <v xml:space="preserve"> Investment Ready</v>
      </c>
    </row>
    <row r="6" spans="1:10" ht="28" customHeight="1" x14ac:dyDescent="0.35">
      <c r="A6" t="s">
        <v>352</v>
      </c>
      <c r="B6" t="s">
        <v>351</v>
      </c>
      <c r="C6">
        <v>15</v>
      </c>
      <c r="D6">
        <v>17</v>
      </c>
      <c r="E6">
        <v>30</v>
      </c>
      <c r="F6">
        <v>13.5</v>
      </c>
      <c r="G6">
        <v>12</v>
      </c>
      <c r="H6">
        <f t="shared" si="0"/>
        <v>87.5</v>
      </c>
      <c r="I6">
        <f t="shared" si="1"/>
        <v>5</v>
      </c>
      <c r="J6" t="str" cm="1">
        <f t="array" ref="J6">_xlfn.IFS(
H6&gt;=80," Investment Ready",
H6&gt;=60," Emerging Potential",
H6&gt;=40," Needs Capacity Support ",
TRUE,"High Risk")</f>
        <v xml:space="preserve"> Investment Ready</v>
      </c>
    </row>
    <row r="7" spans="1:10" ht="19.5" customHeight="1" x14ac:dyDescent="0.35">
      <c r="A7" t="s">
        <v>382</v>
      </c>
      <c r="B7" t="s">
        <v>381</v>
      </c>
      <c r="C7">
        <v>20</v>
      </c>
      <c r="D7">
        <v>20</v>
      </c>
      <c r="E7">
        <v>27.857142857142858</v>
      </c>
      <c r="F7">
        <v>10.5</v>
      </c>
      <c r="G7">
        <v>7.5</v>
      </c>
      <c r="H7">
        <f t="shared" si="0"/>
        <v>85.857142857142861</v>
      </c>
      <c r="I7">
        <f t="shared" si="1"/>
        <v>6</v>
      </c>
      <c r="J7" t="str" cm="1">
        <f t="array" ref="J7">_xlfn.IFS(
H7&gt;=80," Investment Ready",
H7&gt;=60," Emerging Potential",
H7&gt;=40," Needs Capacity Support ",
TRUE,"High Risk")</f>
        <v xml:space="preserve"> Investment Ready</v>
      </c>
    </row>
    <row r="8" spans="1:10" ht="23" customHeight="1" x14ac:dyDescent="0.35">
      <c r="A8" t="s">
        <v>378</v>
      </c>
      <c r="B8" t="s">
        <v>377</v>
      </c>
      <c r="C8">
        <v>16.25</v>
      </c>
      <c r="D8">
        <v>17</v>
      </c>
      <c r="E8">
        <v>27.857142857142858</v>
      </c>
      <c r="F8">
        <v>15</v>
      </c>
      <c r="G8">
        <v>9.75</v>
      </c>
      <c r="H8">
        <f t="shared" si="0"/>
        <v>85.857142857142861</v>
      </c>
      <c r="I8">
        <f t="shared" si="1"/>
        <v>6</v>
      </c>
      <c r="J8" t="str" cm="1">
        <f t="array" ref="J8">_xlfn.IFS(
H8&gt;=80," Investment Ready",
H8&gt;=60," Emerging Potential",
H8&gt;=40," Needs Capacity Support ",
TRUE,"High Risk")</f>
        <v xml:space="preserve"> Investment Ready</v>
      </c>
    </row>
    <row r="9" spans="1:10" x14ac:dyDescent="0.35">
      <c r="A9" t="s">
        <v>370</v>
      </c>
      <c r="B9" t="s">
        <v>369</v>
      </c>
      <c r="C9">
        <v>19.375</v>
      </c>
      <c r="D9">
        <v>17</v>
      </c>
      <c r="E9">
        <v>25.714285714285712</v>
      </c>
      <c r="F9">
        <v>11.25</v>
      </c>
      <c r="G9">
        <v>12</v>
      </c>
      <c r="H9">
        <f t="shared" si="0"/>
        <v>85.339285714285708</v>
      </c>
      <c r="I9">
        <f t="shared" si="1"/>
        <v>8</v>
      </c>
      <c r="J9" t="str" cm="1">
        <f t="array" ref="J9">_xlfn.IFS(
H9&gt;=80," Investment Ready",
H9&gt;=60," Emerging Potential",
H9&gt;=40," Needs Capacity Support ",
TRUE,"High Risk")</f>
        <v xml:space="preserve"> Investment Ready</v>
      </c>
    </row>
    <row r="10" spans="1:10" ht="21.5" customHeight="1" x14ac:dyDescent="0.35">
      <c r="A10" t="s">
        <v>380</v>
      </c>
      <c r="B10" t="s">
        <v>379</v>
      </c>
      <c r="C10">
        <v>18.75</v>
      </c>
      <c r="D10">
        <v>19</v>
      </c>
      <c r="E10">
        <v>25</v>
      </c>
      <c r="F10">
        <v>12</v>
      </c>
      <c r="G10">
        <v>10.5</v>
      </c>
      <c r="H10">
        <f t="shared" si="0"/>
        <v>85.25</v>
      </c>
      <c r="I10">
        <f t="shared" si="1"/>
        <v>9</v>
      </c>
      <c r="J10" t="str" cm="1">
        <f t="array" ref="J10">_xlfn.IFS(
H10&gt;=80," Investment Ready",
H10&gt;=60," Emerging Potential",
H10&gt;=40," Needs Capacity Support ",
TRUE,"High Risk")</f>
        <v xml:space="preserve"> Investment Ready</v>
      </c>
    </row>
    <row r="11" spans="1:10" ht="12" customHeight="1" x14ac:dyDescent="0.35">
      <c r="A11" t="s">
        <v>324</v>
      </c>
      <c r="B11" t="s">
        <v>323</v>
      </c>
      <c r="C11">
        <v>20</v>
      </c>
      <c r="D11">
        <v>16</v>
      </c>
      <c r="E11">
        <v>28.928571428571431</v>
      </c>
      <c r="F11">
        <v>12</v>
      </c>
      <c r="G11">
        <v>8.25</v>
      </c>
      <c r="H11">
        <f t="shared" si="0"/>
        <v>85.178571428571431</v>
      </c>
      <c r="I11">
        <f t="shared" si="1"/>
        <v>10</v>
      </c>
      <c r="J11" t="str" cm="1">
        <f t="array" ref="J11">_xlfn.IFS(
H11&gt;=80," Investment Ready",
H11&gt;=60," Emerging Potential",
H11&gt;=40," Needs Capacity Support ",
TRUE,"High Risk")</f>
        <v xml:space="preserve"> Investment Ready</v>
      </c>
    </row>
    <row r="12" spans="1:10" ht="11.5" customHeight="1" x14ac:dyDescent="0.35">
      <c r="A12" t="s">
        <v>306</v>
      </c>
      <c r="B12" t="s">
        <v>88</v>
      </c>
      <c r="C12">
        <v>18.75</v>
      </c>
      <c r="D12">
        <v>18.75</v>
      </c>
      <c r="E12">
        <v>22.5</v>
      </c>
      <c r="F12">
        <v>12</v>
      </c>
      <c r="G12">
        <v>12.75</v>
      </c>
      <c r="H12">
        <f t="shared" si="0"/>
        <v>84.75</v>
      </c>
      <c r="I12">
        <f t="shared" si="1"/>
        <v>11</v>
      </c>
      <c r="J12" t="str" cm="1">
        <f t="array" ref="J12">_xlfn.IFS(
H12&gt;=80," Investment Ready",
H12&gt;=60," Emerging Potential",
H12&gt;=40," Needs Capacity Support ",
TRUE,"High Risk")</f>
        <v xml:space="preserve"> Investment Ready</v>
      </c>
    </row>
    <row r="13" spans="1:10" x14ac:dyDescent="0.35">
      <c r="A13" t="s">
        <v>302</v>
      </c>
      <c r="B13" t="s">
        <v>301</v>
      </c>
      <c r="C13">
        <v>19.375</v>
      </c>
      <c r="D13">
        <v>19</v>
      </c>
      <c r="E13">
        <v>24.642857142857142</v>
      </c>
      <c r="F13">
        <v>8.25</v>
      </c>
      <c r="G13">
        <v>12.75</v>
      </c>
      <c r="H13">
        <f t="shared" si="0"/>
        <v>84.017857142857139</v>
      </c>
      <c r="I13">
        <f t="shared" si="1"/>
        <v>12</v>
      </c>
      <c r="J13" t="str" cm="1">
        <f t="array" ref="J13">_xlfn.IFS(
H13&gt;=80," Investment Ready",
H13&gt;=60," Emerging Potential",
H13&gt;=40," Needs Capacity Support ",
TRUE,"High Risk")</f>
        <v xml:space="preserve"> Investment Ready</v>
      </c>
    </row>
    <row r="14" spans="1:10" ht="19" customHeight="1" x14ac:dyDescent="0.35">
      <c r="A14" t="s">
        <v>311</v>
      </c>
      <c r="B14" t="s">
        <v>271</v>
      </c>
      <c r="C14">
        <v>19.375</v>
      </c>
      <c r="D14">
        <v>19</v>
      </c>
      <c r="E14">
        <v>23.571428571428569</v>
      </c>
      <c r="F14">
        <v>10.5</v>
      </c>
      <c r="G14">
        <v>10.5</v>
      </c>
      <c r="H14">
        <f t="shared" si="0"/>
        <v>82.946428571428569</v>
      </c>
      <c r="I14">
        <f t="shared" si="1"/>
        <v>13</v>
      </c>
      <c r="J14" t="str" cm="1">
        <f t="array" ref="J14">_xlfn.IFS(
H14&gt;=80," Investment Ready",
H14&gt;=60," Emerging Potential",
H14&gt;=40," Needs Capacity Support ",
TRUE,"High Risk")</f>
        <v xml:space="preserve"> Investment Ready</v>
      </c>
    </row>
    <row r="15" spans="1:10" ht="16.5" customHeight="1" x14ac:dyDescent="0.35">
      <c r="A15" t="s">
        <v>286</v>
      </c>
      <c r="B15" t="s">
        <v>285</v>
      </c>
      <c r="C15">
        <v>20</v>
      </c>
      <c r="D15">
        <v>14</v>
      </c>
      <c r="E15">
        <v>25</v>
      </c>
      <c r="F15">
        <v>14.25</v>
      </c>
      <c r="G15">
        <v>9</v>
      </c>
      <c r="H15">
        <f t="shared" si="0"/>
        <v>82.25</v>
      </c>
      <c r="I15">
        <f t="shared" si="1"/>
        <v>14</v>
      </c>
      <c r="J15" t="str" cm="1">
        <f t="array" ref="J15">_xlfn.IFS(
H15&gt;=80," Investment Ready",
H15&gt;=60," Emerging Potential",
H15&gt;=40," Needs Capacity Support ",
TRUE,"High Risk")</f>
        <v xml:space="preserve"> Investment Ready</v>
      </c>
    </row>
    <row r="16" spans="1:10" ht="22" customHeight="1" x14ac:dyDescent="0.35">
      <c r="A16" t="s">
        <v>376</v>
      </c>
      <c r="B16" t="s">
        <v>127</v>
      </c>
      <c r="C16">
        <v>20</v>
      </c>
      <c r="D16">
        <v>18.75</v>
      </c>
      <c r="E16">
        <v>26.785714285714288</v>
      </c>
      <c r="F16">
        <v>6</v>
      </c>
      <c r="G16">
        <v>10.5</v>
      </c>
      <c r="H16">
        <f t="shared" si="0"/>
        <v>82.035714285714292</v>
      </c>
      <c r="I16">
        <f t="shared" si="1"/>
        <v>15</v>
      </c>
      <c r="J16" t="str" cm="1">
        <f t="array" ref="J16">_xlfn.IFS(
H16&gt;=80," Investment Ready",
H16&gt;=60," Emerging Potential",
H16&gt;=40," Needs Capacity Support ",
TRUE,"High Risk")</f>
        <v xml:space="preserve"> Investment Ready</v>
      </c>
    </row>
    <row r="17" spans="1:10" ht="16.5" customHeight="1" x14ac:dyDescent="0.35">
      <c r="A17" t="s">
        <v>320</v>
      </c>
      <c r="B17" t="s">
        <v>319</v>
      </c>
      <c r="C17">
        <v>17.5</v>
      </c>
      <c r="D17">
        <v>17</v>
      </c>
      <c r="E17">
        <v>25.714285714285712</v>
      </c>
      <c r="F17">
        <v>12.75</v>
      </c>
      <c r="G17">
        <v>9</v>
      </c>
      <c r="H17">
        <f t="shared" si="0"/>
        <v>81.964285714285708</v>
      </c>
      <c r="I17">
        <f t="shared" si="1"/>
        <v>16</v>
      </c>
      <c r="J17" t="str" cm="1">
        <f t="array" ref="J17">_xlfn.IFS(
H17&gt;=80," Investment Ready",
H17&gt;=60," Emerging Potential",
H17&gt;=40," Needs Capacity Support ",
TRUE,"High Risk")</f>
        <v xml:space="preserve"> Investment Ready</v>
      </c>
    </row>
    <row r="18" spans="1:10" x14ac:dyDescent="0.35">
      <c r="A18" t="s">
        <v>281</v>
      </c>
      <c r="B18" t="s">
        <v>280</v>
      </c>
      <c r="C18">
        <v>20</v>
      </c>
      <c r="D18">
        <v>16</v>
      </c>
      <c r="E18">
        <v>25.714285714285712</v>
      </c>
      <c r="F18">
        <v>9.75</v>
      </c>
      <c r="G18">
        <v>10.5</v>
      </c>
      <c r="H18">
        <f t="shared" si="0"/>
        <v>81.964285714285708</v>
      </c>
      <c r="I18">
        <f t="shared" si="1"/>
        <v>16</v>
      </c>
      <c r="J18" t="str" cm="1">
        <f t="array" ref="J18">_xlfn.IFS(
H18&gt;=80," Investment Ready",
H18&gt;=60," Emerging Potential",
H18&gt;=40," Needs Capacity Support ",
TRUE,"High Risk")</f>
        <v xml:space="preserve"> Investment Ready</v>
      </c>
    </row>
    <row r="19" spans="1:10" x14ac:dyDescent="0.35">
      <c r="A19" t="s">
        <v>328</v>
      </c>
      <c r="B19" t="s">
        <v>327</v>
      </c>
      <c r="C19">
        <v>17.5</v>
      </c>
      <c r="D19">
        <v>11</v>
      </c>
      <c r="E19">
        <v>27.857142857142858</v>
      </c>
      <c r="F19">
        <v>13.5</v>
      </c>
      <c r="G19">
        <v>12</v>
      </c>
      <c r="H19">
        <f t="shared" si="0"/>
        <v>81.857142857142861</v>
      </c>
      <c r="I19">
        <f t="shared" si="1"/>
        <v>18</v>
      </c>
      <c r="J19" t="str" cm="1">
        <f t="array" ref="J19">_xlfn.IFS(
H19&gt;=80," Investment Ready",
H19&gt;=60," Emerging Potential",
H19&gt;=40," Needs Capacity Support ",
TRUE,"High Risk")</f>
        <v xml:space="preserve"> Investment Ready</v>
      </c>
    </row>
    <row r="20" spans="1:10" ht="19.5" customHeight="1" x14ac:dyDescent="0.35">
      <c r="A20" t="s">
        <v>374</v>
      </c>
      <c r="B20" t="s">
        <v>342</v>
      </c>
      <c r="C20">
        <v>19.375</v>
      </c>
      <c r="D20">
        <v>16</v>
      </c>
      <c r="E20">
        <v>24.642857142857142</v>
      </c>
      <c r="F20">
        <v>11.25</v>
      </c>
      <c r="G20">
        <v>10.5</v>
      </c>
      <c r="H20">
        <f t="shared" si="0"/>
        <v>81.767857142857139</v>
      </c>
      <c r="I20">
        <f t="shared" si="1"/>
        <v>19</v>
      </c>
      <c r="J20" t="str" cm="1">
        <f t="array" ref="J20">_xlfn.IFS(
H20&gt;=80," Investment Ready",
H20&gt;=60," Emerging Potential",
H20&gt;=40," Needs Capacity Support ",
TRUE,"High Risk")</f>
        <v xml:space="preserve"> Investment Ready</v>
      </c>
    </row>
    <row r="21" spans="1:10" x14ac:dyDescent="0.35">
      <c r="A21" t="s">
        <v>363</v>
      </c>
      <c r="B21" t="s">
        <v>342</v>
      </c>
      <c r="C21">
        <v>20</v>
      </c>
      <c r="D21">
        <v>15</v>
      </c>
      <c r="E21">
        <v>24.642857142857142</v>
      </c>
      <c r="F21">
        <v>10.5</v>
      </c>
      <c r="G21">
        <v>11.25</v>
      </c>
      <c r="H21">
        <f t="shared" si="0"/>
        <v>81.392857142857139</v>
      </c>
      <c r="I21">
        <f t="shared" si="1"/>
        <v>20</v>
      </c>
      <c r="J21" t="str" cm="1">
        <f t="array" ref="J21">_xlfn.IFS(
H21&gt;=80," Investment Ready",
H21&gt;=60," Emerging Potential",
H21&gt;=40," Needs Capacity Support ",
TRUE,"High Risk")</f>
        <v xml:space="preserve"> Investment Ready</v>
      </c>
    </row>
    <row r="22" spans="1:10" x14ac:dyDescent="0.35">
      <c r="A22" t="s">
        <v>305</v>
      </c>
      <c r="B22" t="s">
        <v>230</v>
      </c>
      <c r="C22">
        <v>12.5</v>
      </c>
      <c r="D22">
        <v>17</v>
      </c>
      <c r="E22">
        <v>30</v>
      </c>
      <c r="F22">
        <v>12.75</v>
      </c>
      <c r="G22">
        <v>9</v>
      </c>
      <c r="H22">
        <f t="shared" si="0"/>
        <v>81.25</v>
      </c>
      <c r="I22">
        <f t="shared" si="1"/>
        <v>21</v>
      </c>
      <c r="J22" t="str" cm="1">
        <f t="array" ref="J22">_xlfn.IFS(
H22&gt;=80," Investment Ready",
H22&gt;=60," Emerging Potential",
H22&gt;=40," Needs Capacity Support ",
TRUE,"High Risk")</f>
        <v xml:space="preserve"> Investment Ready</v>
      </c>
    </row>
    <row r="23" spans="1:10" ht="23.5" customHeight="1" x14ac:dyDescent="0.35">
      <c r="A23" t="s">
        <v>340</v>
      </c>
      <c r="B23" t="s">
        <v>339</v>
      </c>
      <c r="C23">
        <v>20</v>
      </c>
      <c r="D23">
        <v>19</v>
      </c>
      <c r="E23">
        <v>23.75</v>
      </c>
      <c r="F23">
        <v>5.625</v>
      </c>
      <c r="G23">
        <v>12.75</v>
      </c>
      <c r="H23">
        <f t="shared" si="0"/>
        <v>81.125</v>
      </c>
      <c r="I23">
        <f t="shared" si="1"/>
        <v>22</v>
      </c>
      <c r="J23" t="str" cm="1">
        <f t="array" ref="J23">_xlfn.IFS(
H23&gt;=80," Investment Ready",
H23&gt;=60," Emerging Potential",
H23&gt;=40," Needs Capacity Support ",
TRUE,"High Risk")</f>
        <v xml:space="preserve"> Investment Ready</v>
      </c>
    </row>
    <row r="24" spans="1:10" x14ac:dyDescent="0.35">
      <c r="A24" t="s">
        <v>317</v>
      </c>
      <c r="B24" t="s">
        <v>316</v>
      </c>
      <c r="C24">
        <v>16.875</v>
      </c>
      <c r="D24">
        <v>19</v>
      </c>
      <c r="E24">
        <v>25.714285714285712</v>
      </c>
      <c r="F24">
        <v>9.75</v>
      </c>
      <c r="G24">
        <v>9.75</v>
      </c>
      <c r="H24">
        <f t="shared" si="0"/>
        <v>81.089285714285708</v>
      </c>
      <c r="I24">
        <f t="shared" si="1"/>
        <v>23</v>
      </c>
      <c r="J24" t="str" cm="1">
        <f t="array" ref="J24">_xlfn.IFS(
H24&gt;=80," Investment Ready",
H24&gt;=60," Emerging Potential",
H24&gt;=40," Needs Capacity Support ",
TRUE,"High Risk")</f>
        <v xml:space="preserve"> Investment Ready</v>
      </c>
    </row>
    <row r="25" spans="1:10" x14ac:dyDescent="0.35">
      <c r="A25" t="s">
        <v>348</v>
      </c>
      <c r="B25" t="s">
        <v>347</v>
      </c>
      <c r="C25">
        <v>17.5</v>
      </c>
      <c r="D25">
        <v>19</v>
      </c>
      <c r="E25">
        <v>24.642857142857142</v>
      </c>
      <c r="F25">
        <v>10.5</v>
      </c>
      <c r="G25">
        <v>9</v>
      </c>
      <c r="H25">
        <f t="shared" si="0"/>
        <v>80.642857142857139</v>
      </c>
      <c r="I25">
        <f t="shared" si="1"/>
        <v>24</v>
      </c>
      <c r="J25" t="str" cm="1">
        <f t="array" ref="J25">_xlfn.IFS(
H25&gt;=80," Investment Ready",
H25&gt;=60," Emerging Potential",
H25&gt;=40," Needs Capacity Support ",
TRUE,"High Risk")</f>
        <v xml:space="preserve"> Investment Ready</v>
      </c>
    </row>
    <row r="26" spans="1:10" ht="22.5" customHeight="1" x14ac:dyDescent="0.35">
      <c r="A26" t="s">
        <v>298</v>
      </c>
      <c r="B26" t="s">
        <v>297</v>
      </c>
      <c r="C26">
        <v>17.5</v>
      </c>
      <c r="D26">
        <v>18</v>
      </c>
      <c r="E26">
        <v>23.571428571428569</v>
      </c>
      <c r="F26">
        <v>12.75</v>
      </c>
      <c r="G26">
        <v>8.25</v>
      </c>
      <c r="H26">
        <f t="shared" si="0"/>
        <v>80.071428571428569</v>
      </c>
      <c r="I26">
        <f t="shared" si="1"/>
        <v>25</v>
      </c>
      <c r="J26" t="str" cm="1">
        <f t="array" ref="J26">_xlfn.IFS(
H26&gt;=80," Investment Ready",
H26&gt;=60," Emerging Potential",
H26&gt;=40," Needs Capacity Support ",
TRUE,"High Risk")</f>
        <v xml:space="preserve"> Investment Ready</v>
      </c>
    </row>
    <row r="27" spans="1:10" x14ac:dyDescent="0.35">
      <c r="A27" t="s">
        <v>318</v>
      </c>
      <c r="B27" t="s">
        <v>297</v>
      </c>
      <c r="C27">
        <v>18.75</v>
      </c>
      <c r="D27">
        <v>16</v>
      </c>
      <c r="E27">
        <v>20.357142857142858</v>
      </c>
      <c r="F27">
        <v>12.75</v>
      </c>
      <c r="G27">
        <v>12</v>
      </c>
      <c r="H27">
        <f t="shared" si="0"/>
        <v>79.857142857142861</v>
      </c>
      <c r="I27">
        <f t="shared" si="1"/>
        <v>26</v>
      </c>
      <c r="J27" t="str" cm="1">
        <f t="array" ref="J27">_xlfn.IFS(
H27&gt;=80," Investment Ready",
H27&gt;=60," Emerging Potential",
H27&gt;=40," Needs Capacity Support ",
TRUE,"High Risk")</f>
        <v xml:space="preserve"> Emerging Potential</v>
      </c>
    </row>
    <row r="28" spans="1:10" x14ac:dyDescent="0.35">
      <c r="A28" t="s">
        <v>313</v>
      </c>
      <c r="B28" t="s">
        <v>312</v>
      </c>
      <c r="C28">
        <v>20</v>
      </c>
      <c r="D28">
        <v>16</v>
      </c>
      <c r="E28">
        <v>25.714285714285712</v>
      </c>
      <c r="F28">
        <v>9</v>
      </c>
      <c r="G28">
        <v>9</v>
      </c>
      <c r="H28">
        <f t="shared" si="0"/>
        <v>79.714285714285708</v>
      </c>
      <c r="I28">
        <f t="shared" si="1"/>
        <v>27</v>
      </c>
      <c r="J28" t="str" cm="1">
        <f t="array" ref="J28">_xlfn.IFS(
H28&gt;=80," Investment Ready",
H28&gt;=60," Emerging Potential",
H28&gt;=40," Needs Capacity Support ",
TRUE,"High Risk")</f>
        <v xml:space="preserve"> Emerging Potential</v>
      </c>
    </row>
    <row r="29" spans="1:10" x14ac:dyDescent="0.35">
      <c r="A29" t="s">
        <v>272</v>
      </c>
      <c r="B29" t="s">
        <v>271</v>
      </c>
      <c r="C29">
        <v>19.375</v>
      </c>
      <c r="D29">
        <v>17</v>
      </c>
      <c r="E29">
        <v>19.285714285714288</v>
      </c>
      <c r="F29">
        <v>12.1875</v>
      </c>
      <c r="G29">
        <v>11.25</v>
      </c>
      <c r="H29">
        <f t="shared" si="0"/>
        <v>79.098214285714292</v>
      </c>
      <c r="I29">
        <f t="shared" si="1"/>
        <v>28</v>
      </c>
      <c r="J29" t="str" cm="1">
        <f t="array" ref="J29">_xlfn.IFS(
H29&gt;=80," Investment Ready",
H29&gt;=60," Emerging Potential",
H29&gt;=40," Needs Capacity Support ",
TRUE,"High Risk")</f>
        <v xml:space="preserve"> Emerging Potential</v>
      </c>
    </row>
    <row r="30" spans="1:10" x14ac:dyDescent="0.35">
      <c r="A30" t="s">
        <v>296</v>
      </c>
      <c r="B30" t="s">
        <v>295</v>
      </c>
      <c r="C30">
        <v>14.375</v>
      </c>
      <c r="D30">
        <v>17</v>
      </c>
      <c r="E30">
        <v>28.928571428571431</v>
      </c>
      <c r="F30">
        <v>10.5</v>
      </c>
      <c r="G30">
        <v>8.25</v>
      </c>
      <c r="H30">
        <f t="shared" si="0"/>
        <v>79.053571428571431</v>
      </c>
      <c r="I30">
        <f t="shared" si="1"/>
        <v>29</v>
      </c>
      <c r="J30" t="str" cm="1">
        <f t="array" ref="J30">_xlfn.IFS(
H30&gt;=80," Investment Ready",
H30&gt;=60," Emerging Potential",
H30&gt;=40," Needs Capacity Support ",
TRUE,"High Risk")</f>
        <v xml:space="preserve"> Emerging Potential</v>
      </c>
    </row>
    <row r="31" spans="1:10" x14ac:dyDescent="0.35">
      <c r="A31" t="s">
        <v>356</v>
      </c>
      <c r="B31" t="s">
        <v>355</v>
      </c>
      <c r="C31">
        <v>19.375</v>
      </c>
      <c r="D31">
        <v>19</v>
      </c>
      <c r="E31">
        <v>20.357142857142858</v>
      </c>
      <c r="F31">
        <v>9.75</v>
      </c>
      <c r="G31">
        <v>10.5</v>
      </c>
      <c r="H31">
        <f t="shared" si="0"/>
        <v>78.982142857142861</v>
      </c>
      <c r="I31">
        <f t="shared" si="1"/>
        <v>30</v>
      </c>
      <c r="J31" t="str" cm="1">
        <f t="array" ref="J31">_xlfn.IFS(
H31&gt;=80," Investment Ready",
H31&gt;=60," Emerging Potential",
H31&gt;=40," Needs Capacity Support ",
TRUE,"High Risk")</f>
        <v xml:space="preserve"> Emerging Potential</v>
      </c>
    </row>
    <row r="32" spans="1:10" x14ac:dyDescent="0.35">
      <c r="A32" t="s">
        <v>367</v>
      </c>
      <c r="B32" t="s">
        <v>366</v>
      </c>
      <c r="C32">
        <v>17.5</v>
      </c>
      <c r="D32">
        <v>17</v>
      </c>
      <c r="E32">
        <v>20.357142857142858</v>
      </c>
      <c r="F32">
        <v>14.25</v>
      </c>
      <c r="G32">
        <v>9.75</v>
      </c>
      <c r="H32">
        <f t="shared" si="0"/>
        <v>78.857142857142861</v>
      </c>
      <c r="I32">
        <f t="shared" si="1"/>
        <v>31</v>
      </c>
      <c r="J32" t="str" cm="1">
        <f t="array" ref="J32">_xlfn.IFS(
H32&gt;=80," Investment Ready",
H32&gt;=60," Emerging Potential",
H32&gt;=40," Needs Capacity Support ",
TRUE,"High Risk")</f>
        <v xml:space="preserve"> Emerging Potential</v>
      </c>
    </row>
    <row r="33" spans="1:10" x14ac:dyDescent="0.35">
      <c r="A33" t="s">
        <v>336</v>
      </c>
      <c r="B33" t="s">
        <v>335</v>
      </c>
      <c r="C33">
        <v>13.75</v>
      </c>
      <c r="D33">
        <v>14</v>
      </c>
      <c r="E33">
        <v>24.642857142857142</v>
      </c>
      <c r="F33">
        <v>15</v>
      </c>
      <c r="G33">
        <v>11.25</v>
      </c>
      <c r="H33">
        <f t="shared" si="0"/>
        <v>78.642857142857139</v>
      </c>
      <c r="I33">
        <f t="shared" si="1"/>
        <v>32</v>
      </c>
      <c r="J33" t="str" cm="1">
        <f t="array" ref="J33">_xlfn.IFS(
H33&gt;=80," Investment Ready",
H33&gt;=60," Emerging Potential",
H33&gt;=40," Needs Capacity Support ",
TRUE,"High Risk")</f>
        <v xml:space="preserve"> Emerging Potential</v>
      </c>
    </row>
    <row r="34" spans="1:10" x14ac:dyDescent="0.35">
      <c r="A34" t="s">
        <v>368</v>
      </c>
      <c r="B34" t="s">
        <v>323</v>
      </c>
      <c r="C34">
        <v>15.625</v>
      </c>
      <c r="D34">
        <v>18</v>
      </c>
      <c r="E34">
        <v>23.571428571428569</v>
      </c>
      <c r="F34">
        <v>11.25</v>
      </c>
      <c r="G34">
        <v>9.75</v>
      </c>
      <c r="H34">
        <f t="shared" ref="H34:H65" si="2">SUM(C34:G34)</f>
        <v>78.196428571428569</v>
      </c>
      <c r="I34">
        <f t="shared" ref="I34:I65" si="3">_xlfn.RANK.EQ(H34,$H$2:$H$151,0)</f>
        <v>33</v>
      </c>
      <c r="J34" t="str" cm="1">
        <f t="array" ref="J34">_xlfn.IFS(
H34&gt;=80," Investment Ready",
H34&gt;=60," Emerging Potential",
H34&gt;=40," Needs Capacity Support ",
TRUE,"High Risk")</f>
        <v xml:space="preserve"> Emerging Potential</v>
      </c>
    </row>
    <row r="35" spans="1:10" x14ac:dyDescent="0.35">
      <c r="A35" t="s">
        <v>358</v>
      </c>
      <c r="B35" t="s">
        <v>357</v>
      </c>
      <c r="C35">
        <v>17.5</v>
      </c>
      <c r="D35">
        <v>15</v>
      </c>
      <c r="E35">
        <v>26.785714285714288</v>
      </c>
      <c r="F35">
        <v>9.75</v>
      </c>
      <c r="G35">
        <v>9</v>
      </c>
      <c r="H35">
        <f t="shared" si="2"/>
        <v>78.035714285714292</v>
      </c>
      <c r="I35">
        <f t="shared" si="3"/>
        <v>34</v>
      </c>
      <c r="J35" t="str" cm="1">
        <f t="array" ref="J35">_xlfn.IFS(
H35&gt;=80," Investment Ready",
H35&gt;=60," Emerging Potential",
H35&gt;=40," Needs Capacity Support ",
TRUE,"High Risk")</f>
        <v xml:space="preserve"> Emerging Potential</v>
      </c>
    </row>
    <row r="36" spans="1:10" x14ac:dyDescent="0.35">
      <c r="A36" t="s">
        <v>153</v>
      </c>
      <c r="B36" t="s">
        <v>152</v>
      </c>
      <c r="C36">
        <v>13.125</v>
      </c>
      <c r="D36">
        <v>18</v>
      </c>
      <c r="E36">
        <v>23.571428571428569</v>
      </c>
      <c r="F36">
        <v>13.5</v>
      </c>
      <c r="G36">
        <v>9.75</v>
      </c>
      <c r="H36">
        <f t="shared" si="2"/>
        <v>77.946428571428569</v>
      </c>
      <c r="I36">
        <f t="shared" si="3"/>
        <v>35</v>
      </c>
      <c r="J36" t="str" cm="1">
        <f t="array" ref="J36">_xlfn.IFS(
H36&gt;=80," Investment Ready",
H36&gt;=60," Emerging Potential",
H36&gt;=40," Needs Capacity Support ",
TRUE,"High Risk")</f>
        <v xml:space="preserve"> Emerging Potential</v>
      </c>
    </row>
    <row r="37" spans="1:10" x14ac:dyDescent="0.35">
      <c r="A37" t="s">
        <v>310</v>
      </c>
      <c r="B37" t="s">
        <v>309</v>
      </c>
      <c r="C37">
        <v>17.5</v>
      </c>
      <c r="D37">
        <v>18</v>
      </c>
      <c r="E37">
        <v>25</v>
      </c>
      <c r="F37">
        <v>8.4375</v>
      </c>
      <c r="G37">
        <v>9</v>
      </c>
      <c r="H37">
        <f t="shared" si="2"/>
        <v>77.9375</v>
      </c>
      <c r="I37">
        <f t="shared" si="3"/>
        <v>36</v>
      </c>
      <c r="J37" t="str" cm="1">
        <f t="array" ref="J37">_xlfn.IFS(
H37&gt;=80," Investment Ready",
H37&gt;=60," Emerging Potential",
H37&gt;=40," Needs Capacity Support ",
TRUE,"High Risk")</f>
        <v xml:space="preserve"> Emerging Potential</v>
      </c>
    </row>
    <row r="38" spans="1:10" x14ac:dyDescent="0.35">
      <c r="A38" t="s">
        <v>333</v>
      </c>
      <c r="B38" t="s">
        <v>332</v>
      </c>
      <c r="C38">
        <v>12.5</v>
      </c>
      <c r="D38">
        <v>20</v>
      </c>
      <c r="E38">
        <v>25.714285714285712</v>
      </c>
      <c r="F38">
        <v>12</v>
      </c>
      <c r="G38">
        <v>7.5</v>
      </c>
      <c r="H38">
        <f t="shared" si="2"/>
        <v>77.714285714285708</v>
      </c>
      <c r="I38">
        <f t="shared" si="3"/>
        <v>37</v>
      </c>
      <c r="J38" t="str" cm="1">
        <f t="array" ref="J38">_xlfn.IFS(
H38&gt;=80," Investment Ready",
H38&gt;=60," Emerging Potential",
H38&gt;=40," Needs Capacity Support ",
TRUE,"High Risk")</f>
        <v xml:space="preserve"> Emerging Potential</v>
      </c>
    </row>
    <row r="39" spans="1:10" x14ac:dyDescent="0.35">
      <c r="A39" t="s">
        <v>365</v>
      </c>
      <c r="B39" t="s">
        <v>364</v>
      </c>
      <c r="C39">
        <v>20</v>
      </c>
      <c r="D39">
        <v>17</v>
      </c>
      <c r="E39">
        <v>17.142857142857142</v>
      </c>
      <c r="F39">
        <v>15</v>
      </c>
      <c r="G39">
        <v>8.25</v>
      </c>
      <c r="H39">
        <f t="shared" si="2"/>
        <v>77.392857142857139</v>
      </c>
      <c r="I39">
        <f t="shared" si="3"/>
        <v>38</v>
      </c>
      <c r="J39" t="str" cm="1">
        <f t="array" ref="J39">_xlfn.IFS(
H39&gt;=80," Investment Ready",
H39&gt;=60," Emerging Potential",
H39&gt;=40," Needs Capacity Support ",
TRUE,"High Risk")</f>
        <v xml:space="preserve"> Emerging Potential</v>
      </c>
    </row>
    <row r="40" spans="1:10" x14ac:dyDescent="0.35">
      <c r="A40" t="s">
        <v>131</v>
      </c>
      <c r="B40" t="s">
        <v>130</v>
      </c>
      <c r="C40">
        <v>17.5</v>
      </c>
      <c r="D40">
        <v>17</v>
      </c>
      <c r="E40">
        <v>17.142857142857142</v>
      </c>
      <c r="F40">
        <v>13.5</v>
      </c>
      <c r="G40">
        <v>12</v>
      </c>
      <c r="H40">
        <f t="shared" si="2"/>
        <v>77.142857142857139</v>
      </c>
      <c r="I40">
        <f t="shared" si="3"/>
        <v>39</v>
      </c>
      <c r="J40" t="str" cm="1">
        <f t="array" ref="J40">_xlfn.IFS(
H40&gt;=80," Investment Ready",
H40&gt;=60," Emerging Potential",
H40&gt;=40," Needs Capacity Support ",
TRUE,"High Risk")</f>
        <v xml:space="preserve"> Emerging Potential</v>
      </c>
    </row>
    <row r="41" spans="1:10" x14ac:dyDescent="0.35">
      <c r="A41" t="s">
        <v>300</v>
      </c>
      <c r="B41" t="s">
        <v>228</v>
      </c>
      <c r="C41">
        <v>17.5</v>
      </c>
      <c r="D41">
        <v>17</v>
      </c>
      <c r="E41">
        <v>22.5</v>
      </c>
      <c r="F41">
        <v>8.4375</v>
      </c>
      <c r="G41">
        <v>11.25</v>
      </c>
      <c r="H41">
        <f t="shared" si="2"/>
        <v>76.6875</v>
      </c>
      <c r="I41">
        <f t="shared" si="3"/>
        <v>40</v>
      </c>
      <c r="J41" t="str" cm="1">
        <f t="array" ref="J41">_xlfn.IFS(
H41&gt;=80," Investment Ready",
H41&gt;=60," Emerging Potential",
H41&gt;=40," Needs Capacity Support ",
TRUE,"High Risk")</f>
        <v xml:space="preserve"> Emerging Potential</v>
      </c>
    </row>
    <row r="42" spans="1:10" x14ac:dyDescent="0.35">
      <c r="A42" t="s">
        <v>283</v>
      </c>
      <c r="B42" t="s">
        <v>180</v>
      </c>
      <c r="C42">
        <v>15</v>
      </c>
      <c r="D42">
        <v>20</v>
      </c>
      <c r="E42">
        <v>18.214285714285712</v>
      </c>
      <c r="F42">
        <v>9.75</v>
      </c>
      <c r="G42">
        <v>13.5</v>
      </c>
      <c r="H42">
        <f t="shared" si="2"/>
        <v>76.464285714285708</v>
      </c>
      <c r="I42">
        <f t="shared" si="3"/>
        <v>41</v>
      </c>
      <c r="J42" t="str" cm="1">
        <f t="array" ref="J42">_xlfn.IFS(
H42&gt;=80," Investment Ready",
H42&gt;=60," Emerging Potential",
H42&gt;=40," Needs Capacity Support ",
TRUE,"High Risk")</f>
        <v xml:space="preserve"> Emerging Potential</v>
      </c>
    </row>
    <row r="43" spans="1:10" x14ac:dyDescent="0.35">
      <c r="A43" t="s">
        <v>151</v>
      </c>
      <c r="B43" t="s">
        <v>150</v>
      </c>
      <c r="C43">
        <v>16.875</v>
      </c>
      <c r="D43">
        <v>14</v>
      </c>
      <c r="E43">
        <v>20.357142857142858</v>
      </c>
      <c r="F43">
        <v>13.125</v>
      </c>
      <c r="G43">
        <v>12</v>
      </c>
      <c r="H43">
        <f t="shared" si="2"/>
        <v>76.357142857142861</v>
      </c>
      <c r="I43">
        <f t="shared" si="3"/>
        <v>42</v>
      </c>
      <c r="J43" t="str" cm="1">
        <f t="array" ref="J43">_xlfn.IFS(
H43&gt;=80," Investment Ready",
H43&gt;=60," Emerging Potential",
H43&gt;=40," Needs Capacity Support ",
TRUE,"High Risk")</f>
        <v xml:space="preserve"> Emerging Potential</v>
      </c>
    </row>
    <row r="44" spans="1:10" x14ac:dyDescent="0.35">
      <c r="A44" t="s">
        <v>294</v>
      </c>
      <c r="B44" t="s">
        <v>293</v>
      </c>
      <c r="C44">
        <v>15.625</v>
      </c>
      <c r="D44">
        <v>15</v>
      </c>
      <c r="E44">
        <v>23.75</v>
      </c>
      <c r="F44">
        <v>12.75</v>
      </c>
      <c r="G44">
        <v>9</v>
      </c>
      <c r="H44">
        <f t="shared" si="2"/>
        <v>76.125</v>
      </c>
      <c r="I44">
        <f t="shared" si="3"/>
        <v>43</v>
      </c>
      <c r="J44" t="str" cm="1">
        <f t="array" ref="J44">_xlfn.IFS(
H44&gt;=80," Investment Ready",
H44&gt;=60," Emerging Potential",
H44&gt;=40," Needs Capacity Support ",
TRUE,"High Risk")</f>
        <v xml:space="preserve"> Emerging Potential</v>
      </c>
    </row>
    <row r="45" spans="1:10" x14ac:dyDescent="0.35">
      <c r="A45" t="s">
        <v>267</v>
      </c>
      <c r="B45" t="s">
        <v>26</v>
      </c>
      <c r="C45">
        <v>10.625</v>
      </c>
      <c r="D45">
        <v>15</v>
      </c>
      <c r="E45">
        <v>27.857142857142858</v>
      </c>
      <c r="F45">
        <v>13.5</v>
      </c>
      <c r="G45">
        <v>9</v>
      </c>
      <c r="H45">
        <f t="shared" si="2"/>
        <v>75.982142857142861</v>
      </c>
      <c r="I45">
        <f t="shared" si="3"/>
        <v>44</v>
      </c>
      <c r="J45" t="str" cm="1">
        <f t="array" ref="J45">_xlfn.IFS(
H45&gt;=80," Investment Ready",
H45&gt;=60," Emerging Potential",
H45&gt;=40," Needs Capacity Support ",
TRUE,"High Risk")</f>
        <v xml:space="preserve"> Emerging Potential</v>
      </c>
    </row>
    <row r="46" spans="1:10" x14ac:dyDescent="0.35">
      <c r="A46" t="s">
        <v>326</v>
      </c>
      <c r="B46" t="s">
        <v>325</v>
      </c>
      <c r="C46">
        <v>14.375</v>
      </c>
      <c r="D46">
        <v>17</v>
      </c>
      <c r="E46">
        <v>24.642857142857142</v>
      </c>
      <c r="F46">
        <v>11.25</v>
      </c>
      <c r="G46">
        <v>8.25</v>
      </c>
      <c r="H46">
        <f t="shared" si="2"/>
        <v>75.517857142857139</v>
      </c>
      <c r="I46">
        <f t="shared" si="3"/>
        <v>45</v>
      </c>
      <c r="J46" t="str" cm="1">
        <f t="array" ref="J46">_xlfn.IFS(
H46&gt;=80," Investment Ready",
H46&gt;=60," Emerging Potential",
H46&gt;=40," Needs Capacity Support ",
TRUE,"High Risk")</f>
        <v xml:space="preserve"> Emerging Potential</v>
      </c>
    </row>
    <row r="47" spans="1:10" x14ac:dyDescent="0.35">
      <c r="A47" t="s">
        <v>350</v>
      </c>
      <c r="B47" t="s">
        <v>349</v>
      </c>
      <c r="C47">
        <v>16.25</v>
      </c>
      <c r="D47">
        <v>9</v>
      </c>
      <c r="E47">
        <v>24.642857142857142</v>
      </c>
      <c r="F47">
        <v>15</v>
      </c>
      <c r="G47">
        <v>10.5</v>
      </c>
      <c r="H47">
        <f t="shared" si="2"/>
        <v>75.392857142857139</v>
      </c>
      <c r="I47">
        <f t="shared" si="3"/>
        <v>46</v>
      </c>
      <c r="J47" t="str" cm="1">
        <f t="array" ref="J47">_xlfn.IFS(
H47&gt;=80," Investment Ready",
H47&gt;=60," Emerging Potential",
H47&gt;=40," Needs Capacity Support ",
TRUE,"High Risk")</f>
        <v xml:space="preserve"> Emerging Potential</v>
      </c>
    </row>
    <row r="48" spans="1:10" x14ac:dyDescent="0.35">
      <c r="A48" t="s">
        <v>149</v>
      </c>
      <c r="B48" t="s">
        <v>148</v>
      </c>
      <c r="C48">
        <v>15.625</v>
      </c>
      <c r="D48">
        <v>16.25</v>
      </c>
      <c r="E48">
        <v>21.428571428571431</v>
      </c>
      <c r="F48">
        <v>10.5</v>
      </c>
      <c r="G48">
        <v>11.25</v>
      </c>
      <c r="H48">
        <f t="shared" si="2"/>
        <v>75.053571428571431</v>
      </c>
      <c r="I48">
        <f t="shared" si="3"/>
        <v>47</v>
      </c>
      <c r="J48" t="str" cm="1">
        <f t="array" ref="J48">_xlfn.IFS(
H48&gt;=80," Investment Ready",
H48&gt;=60," Emerging Potential",
H48&gt;=40," Needs Capacity Support ",
TRUE,"High Risk")</f>
        <v xml:space="preserve"> Emerging Potential</v>
      </c>
    </row>
    <row r="49" spans="1:10" x14ac:dyDescent="0.35">
      <c r="A49" t="s">
        <v>194</v>
      </c>
      <c r="B49" t="s">
        <v>193</v>
      </c>
      <c r="C49">
        <v>16.875</v>
      </c>
      <c r="D49">
        <v>17</v>
      </c>
      <c r="E49">
        <v>18.214285714285712</v>
      </c>
      <c r="F49">
        <v>8.25</v>
      </c>
      <c r="G49">
        <v>14.25</v>
      </c>
      <c r="H49">
        <f t="shared" si="2"/>
        <v>74.589285714285708</v>
      </c>
      <c r="I49">
        <f t="shared" si="3"/>
        <v>48</v>
      </c>
      <c r="J49" t="str" cm="1">
        <f t="array" ref="J49">_xlfn.IFS(
H49&gt;=80," Investment Ready",
H49&gt;=60," Emerging Potential",
H49&gt;=40," Needs Capacity Support ",
TRUE,"High Risk")</f>
        <v xml:space="preserve"> Emerging Potential</v>
      </c>
    </row>
    <row r="50" spans="1:10" x14ac:dyDescent="0.35">
      <c r="A50" t="s">
        <v>343</v>
      </c>
      <c r="B50" t="s">
        <v>342</v>
      </c>
      <c r="C50">
        <v>16.875</v>
      </c>
      <c r="D50">
        <v>16</v>
      </c>
      <c r="E50">
        <v>23.571428571428569</v>
      </c>
      <c r="F50">
        <v>9.75</v>
      </c>
      <c r="G50">
        <v>8.25</v>
      </c>
      <c r="H50">
        <f t="shared" si="2"/>
        <v>74.446428571428569</v>
      </c>
      <c r="I50">
        <f t="shared" si="3"/>
        <v>49</v>
      </c>
      <c r="J50" t="str" cm="1">
        <f t="array" ref="J50">_xlfn.IFS(
H50&gt;=80," Investment Ready",
H50&gt;=60," Emerging Potential",
H50&gt;=40," Needs Capacity Support ",
TRUE,"High Risk")</f>
        <v xml:space="preserve"> Emerging Potential</v>
      </c>
    </row>
    <row r="51" spans="1:10" x14ac:dyDescent="0.35">
      <c r="A51" t="s">
        <v>372</v>
      </c>
      <c r="B51" t="s">
        <v>371</v>
      </c>
      <c r="C51">
        <v>19.285714285714285</v>
      </c>
      <c r="D51">
        <v>11</v>
      </c>
      <c r="E51">
        <v>24.642857142857142</v>
      </c>
      <c r="F51">
        <v>9.75</v>
      </c>
      <c r="G51">
        <v>9.75</v>
      </c>
      <c r="H51">
        <f t="shared" si="2"/>
        <v>74.428571428571431</v>
      </c>
      <c r="I51">
        <f t="shared" si="3"/>
        <v>50</v>
      </c>
      <c r="J51" t="str" cm="1">
        <f t="array" ref="J51">_xlfn.IFS(
H51&gt;=80," Investment Ready",
H51&gt;=60," Emerging Potential",
H51&gt;=40," Needs Capacity Support ",
TRUE,"High Risk")</f>
        <v xml:space="preserve"> Emerging Potential</v>
      </c>
    </row>
    <row r="52" spans="1:10" x14ac:dyDescent="0.35">
      <c r="A52" t="s">
        <v>258</v>
      </c>
      <c r="B52" t="s">
        <v>70</v>
      </c>
      <c r="C52">
        <v>7.5</v>
      </c>
      <c r="D52">
        <v>16</v>
      </c>
      <c r="E52">
        <v>24.642857142857142</v>
      </c>
      <c r="F52">
        <v>12</v>
      </c>
      <c r="G52">
        <v>14.25</v>
      </c>
      <c r="H52">
        <f t="shared" si="2"/>
        <v>74.392857142857139</v>
      </c>
      <c r="I52">
        <f t="shared" si="3"/>
        <v>51</v>
      </c>
      <c r="J52" t="str" cm="1">
        <f t="array" ref="J52">_xlfn.IFS(
H52&gt;=80," Investment Ready",
H52&gt;=60," Emerging Potential",
H52&gt;=40," Needs Capacity Support ",
TRUE,"High Risk")</f>
        <v xml:space="preserve"> Emerging Potential</v>
      </c>
    </row>
    <row r="53" spans="1:10" x14ac:dyDescent="0.35">
      <c r="A53" t="s">
        <v>199</v>
      </c>
      <c r="B53" t="s">
        <v>198</v>
      </c>
      <c r="C53">
        <v>16.25</v>
      </c>
      <c r="D53">
        <v>15</v>
      </c>
      <c r="E53">
        <v>22.5</v>
      </c>
      <c r="F53">
        <v>6.75</v>
      </c>
      <c r="G53">
        <v>13.5</v>
      </c>
      <c r="H53">
        <f t="shared" si="2"/>
        <v>74</v>
      </c>
      <c r="I53">
        <f t="shared" si="3"/>
        <v>52</v>
      </c>
      <c r="J53" t="str" cm="1">
        <f t="array" ref="J53">_xlfn.IFS(
H53&gt;=80," Investment Ready",
H53&gt;=60," Emerging Potential",
H53&gt;=40," Needs Capacity Support ",
TRUE,"High Risk")</f>
        <v xml:space="preserve"> Emerging Potential</v>
      </c>
    </row>
    <row r="54" spans="1:10" x14ac:dyDescent="0.35">
      <c r="A54" t="s">
        <v>173</v>
      </c>
      <c r="B54" t="s">
        <v>172</v>
      </c>
      <c r="C54">
        <v>13.125</v>
      </c>
      <c r="D54">
        <v>16</v>
      </c>
      <c r="E54">
        <v>23.571428571428569</v>
      </c>
      <c r="F54">
        <v>10.5</v>
      </c>
      <c r="G54">
        <v>10.5</v>
      </c>
      <c r="H54">
        <f t="shared" si="2"/>
        <v>73.696428571428569</v>
      </c>
      <c r="I54">
        <f t="shared" si="3"/>
        <v>53</v>
      </c>
      <c r="J54" t="str" cm="1">
        <f t="array" ref="J54">_xlfn.IFS(
H54&gt;=80," Investment Ready",
H54&gt;=60," Emerging Potential",
H54&gt;=40," Needs Capacity Support ",
TRUE,"High Risk")</f>
        <v xml:space="preserve"> Emerging Potential</v>
      </c>
    </row>
    <row r="55" spans="1:10" x14ac:dyDescent="0.35">
      <c r="A55" t="s">
        <v>362</v>
      </c>
      <c r="B55" t="s">
        <v>361</v>
      </c>
      <c r="C55">
        <v>17.5</v>
      </c>
      <c r="D55">
        <v>11</v>
      </c>
      <c r="E55">
        <v>24.642857142857142</v>
      </c>
      <c r="F55">
        <v>9.75</v>
      </c>
      <c r="G55">
        <v>10.5</v>
      </c>
      <c r="H55">
        <f t="shared" si="2"/>
        <v>73.392857142857139</v>
      </c>
      <c r="I55">
        <f t="shared" si="3"/>
        <v>54</v>
      </c>
      <c r="J55" t="str" cm="1">
        <f t="array" ref="J55">_xlfn.IFS(
H55&gt;=80," Investment Ready",
H55&gt;=60," Emerging Potential",
H55&gt;=40," Needs Capacity Support ",
TRUE,"High Risk")</f>
        <v xml:space="preserve"> Emerging Potential</v>
      </c>
    </row>
    <row r="56" spans="1:10" x14ac:dyDescent="0.35">
      <c r="A56" t="s">
        <v>373</v>
      </c>
      <c r="B56" t="s">
        <v>36</v>
      </c>
      <c r="C56">
        <v>11.25</v>
      </c>
      <c r="D56">
        <v>9</v>
      </c>
      <c r="E56">
        <v>27.857142857142858</v>
      </c>
      <c r="F56">
        <v>12.75</v>
      </c>
      <c r="G56">
        <v>12</v>
      </c>
      <c r="H56">
        <f t="shared" si="2"/>
        <v>72.857142857142861</v>
      </c>
      <c r="I56">
        <f t="shared" si="3"/>
        <v>55</v>
      </c>
      <c r="J56" t="str" cm="1">
        <f t="array" ref="J56">_xlfn.IFS(
H56&gt;=80," Investment Ready",
H56&gt;=60," Emerging Potential",
H56&gt;=40," Needs Capacity Support ",
TRUE,"High Risk")</f>
        <v xml:space="preserve"> Emerging Potential</v>
      </c>
    </row>
    <row r="57" spans="1:10" x14ac:dyDescent="0.35">
      <c r="A57" t="s">
        <v>290</v>
      </c>
      <c r="B57" t="s">
        <v>289</v>
      </c>
      <c r="C57">
        <v>16.875</v>
      </c>
      <c r="D57">
        <v>14</v>
      </c>
      <c r="E57">
        <v>26.785714285714288</v>
      </c>
      <c r="F57">
        <v>6</v>
      </c>
      <c r="G57">
        <v>9</v>
      </c>
      <c r="H57">
        <f t="shared" si="2"/>
        <v>72.660714285714292</v>
      </c>
      <c r="I57">
        <f t="shared" si="3"/>
        <v>56</v>
      </c>
      <c r="J57" t="str" cm="1">
        <f t="array" ref="J57">_xlfn.IFS(
H57&gt;=80," Investment Ready",
H57&gt;=60," Emerging Potential",
H57&gt;=40," Needs Capacity Support ",
TRUE,"High Risk")</f>
        <v xml:space="preserve"> Emerging Potential</v>
      </c>
    </row>
    <row r="58" spans="1:10" x14ac:dyDescent="0.35">
      <c r="A58" t="s">
        <v>224</v>
      </c>
      <c r="B58" t="s">
        <v>223</v>
      </c>
      <c r="C58">
        <v>18.75</v>
      </c>
      <c r="D58">
        <v>12.5</v>
      </c>
      <c r="E58">
        <v>20.357142857142858</v>
      </c>
      <c r="F58">
        <v>9</v>
      </c>
      <c r="G58">
        <v>12</v>
      </c>
      <c r="H58">
        <f t="shared" si="2"/>
        <v>72.607142857142861</v>
      </c>
      <c r="I58">
        <f t="shared" si="3"/>
        <v>57</v>
      </c>
      <c r="J58" t="str" cm="1">
        <f t="array" ref="J58">_xlfn.IFS(
H58&gt;=80," Investment Ready",
H58&gt;=60," Emerging Potential",
H58&gt;=40," Needs Capacity Support ",
TRUE,"High Risk")</f>
        <v xml:space="preserve"> Emerging Potential</v>
      </c>
    </row>
    <row r="59" spans="1:10" x14ac:dyDescent="0.35">
      <c r="A59" t="s">
        <v>277</v>
      </c>
      <c r="B59" t="s">
        <v>276</v>
      </c>
      <c r="C59">
        <v>11.25</v>
      </c>
      <c r="D59">
        <v>15</v>
      </c>
      <c r="E59">
        <v>26.785714285714288</v>
      </c>
      <c r="F59">
        <v>12</v>
      </c>
      <c r="G59">
        <v>7.5</v>
      </c>
      <c r="H59">
        <f t="shared" si="2"/>
        <v>72.535714285714292</v>
      </c>
      <c r="I59">
        <f t="shared" si="3"/>
        <v>58</v>
      </c>
      <c r="J59" t="str" cm="1">
        <f t="array" ref="J59">_xlfn.IFS(
H59&gt;=80," Investment Ready",
H59&gt;=60," Emerging Potential",
H59&gt;=40," Needs Capacity Support ",
TRUE,"High Risk")</f>
        <v xml:space="preserve"> Emerging Potential</v>
      </c>
    </row>
    <row r="60" spans="1:10" x14ac:dyDescent="0.35">
      <c r="A60" t="s">
        <v>360</v>
      </c>
      <c r="B60" t="s">
        <v>359</v>
      </c>
      <c r="C60">
        <v>16.875</v>
      </c>
      <c r="D60">
        <v>15</v>
      </c>
      <c r="E60">
        <v>24.642857142857142</v>
      </c>
      <c r="F60">
        <v>7.5</v>
      </c>
      <c r="G60">
        <v>8.25</v>
      </c>
      <c r="H60">
        <f t="shared" si="2"/>
        <v>72.267857142857139</v>
      </c>
      <c r="I60">
        <f t="shared" si="3"/>
        <v>59</v>
      </c>
      <c r="J60" t="str" cm="1">
        <f t="array" ref="J60">_xlfn.IFS(
H60&gt;=80," Investment Ready",
H60&gt;=60," Emerging Potential",
H60&gt;=40," Needs Capacity Support ",
TRUE,"High Risk")</f>
        <v xml:space="preserve"> Emerging Potential</v>
      </c>
    </row>
    <row r="61" spans="1:10" x14ac:dyDescent="0.35">
      <c r="A61" t="s">
        <v>266</v>
      </c>
      <c r="B61" t="s">
        <v>265</v>
      </c>
      <c r="C61">
        <v>20</v>
      </c>
      <c r="D61">
        <v>17</v>
      </c>
      <c r="E61">
        <v>17.142857142857142</v>
      </c>
      <c r="F61">
        <v>7.5</v>
      </c>
      <c r="G61">
        <v>10.5</v>
      </c>
      <c r="H61">
        <f t="shared" si="2"/>
        <v>72.142857142857139</v>
      </c>
      <c r="I61">
        <f t="shared" si="3"/>
        <v>60</v>
      </c>
      <c r="J61" t="str" cm="1">
        <f t="array" ref="J61">_xlfn.IFS(
H61&gt;=80," Investment Ready",
H61&gt;=60," Emerging Potential",
H61&gt;=40," Needs Capacity Support ",
TRUE,"High Risk")</f>
        <v xml:space="preserve"> Emerging Potential</v>
      </c>
    </row>
    <row r="62" spans="1:10" x14ac:dyDescent="0.35">
      <c r="A62" t="s">
        <v>142</v>
      </c>
      <c r="B62" t="s">
        <v>141</v>
      </c>
      <c r="C62">
        <v>12.5</v>
      </c>
      <c r="D62">
        <v>17</v>
      </c>
      <c r="E62">
        <v>15</v>
      </c>
      <c r="F62">
        <v>14.25</v>
      </c>
      <c r="G62">
        <v>12.75</v>
      </c>
      <c r="H62">
        <f t="shared" si="2"/>
        <v>71.5</v>
      </c>
      <c r="I62">
        <f t="shared" si="3"/>
        <v>61</v>
      </c>
      <c r="J62" t="str" cm="1">
        <f t="array" ref="J62">_xlfn.IFS(
H62&gt;=80," Investment Ready",
H62&gt;=60," Emerging Potential",
H62&gt;=40," Needs Capacity Support ",
TRUE,"High Risk")</f>
        <v xml:space="preserve"> Emerging Potential</v>
      </c>
    </row>
    <row r="63" spans="1:10" x14ac:dyDescent="0.35">
      <c r="A63" t="s">
        <v>270</v>
      </c>
      <c r="B63" t="s">
        <v>136</v>
      </c>
      <c r="C63">
        <v>12.5</v>
      </c>
      <c r="D63">
        <v>18</v>
      </c>
      <c r="E63">
        <v>16.071428571428569</v>
      </c>
      <c r="F63">
        <v>11.25</v>
      </c>
      <c r="G63">
        <v>13.5</v>
      </c>
      <c r="H63">
        <f t="shared" si="2"/>
        <v>71.321428571428569</v>
      </c>
      <c r="I63">
        <f t="shared" si="3"/>
        <v>62</v>
      </c>
      <c r="J63" t="str" cm="1">
        <f t="array" ref="J63">_xlfn.IFS(
H63&gt;=80," Investment Ready",
H63&gt;=60," Emerging Potential",
H63&gt;=40," Needs Capacity Support ",
TRUE,"High Risk")</f>
        <v xml:space="preserve"> Emerging Potential</v>
      </c>
    </row>
    <row r="64" spans="1:10" x14ac:dyDescent="0.35">
      <c r="A64" t="s">
        <v>227</v>
      </c>
      <c r="B64" t="s">
        <v>211</v>
      </c>
      <c r="C64">
        <v>18.571428571428573</v>
      </c>
      <c r="D64">
        <v>16</v>
      </c>
      <c r="E64">
        <v>15</v>
      </c>
      <c r="F64">
        <v>12.75</v>
      </c>
      <c r="G64">
        <v>9</v>
      </c>
      <c r="H64">
        <f t="shared" si="2"/>
        <v>71.321428571428569</v>
      </c>
      <c r="I64">
        <f t="shared" si="3"/>
        <v>62</v>
      </c>
      <c r="J64" t="str" cm="1">
        <f t="array" ref="J64">_xlfn.IFS(
H64&gt;=80," Investment Ready",
H64&gt;=60," Emerging Potential",
H64&gt;=40," Needs Capacity Support ",
TRUE,"High Risk")</f>
        <v xml:space="preserve"> Emerging Potential</v>
      </c>
    </row>
    <row r="65" spans="1:10" x14ac:dyDescent="0.35">
      <c r="A65" t="s">
        <v>292</v>
      </c>
      <c r="B65" t="s">
        <v>291</v>
      </c>
      <c r="C65">
        <v>11.875</v>
      </c>
      <c r="D65">
        <v>17</v>
      </c>
      <c r="E65">
        <v>18.214285714285712</v>
      </c>
      <c r="F65">
        <v>14.25</v>
      </c>
      <c r="G65">
        <v>9.75</v>
      </c>
      <c r="H65">
        <f t="shared" si="2"/>
        <v>71.089285714285708</v>
      </c>
      <c r="I65">
        <f t="shared" si="3"/>
        <v>64</v>
      </c>
      <c r="J65" t="str" cm="1">
        <f t="array" ref="J65">_xlfn.IFS(
H65&gt;=80," Investment Ready",
H65&gt;=60," Emerging Potential",
H65&gt;=40," Needs Capacity Support ",
TRUE,"High Risk")</f>
        <v xml:space="preserve"> Emerging Potential</v>
      </c>
    </row>
    <row r="66" spans="1:10" x14ac:dyDescent="0.35">
      <c r="A66" t="s">
        <v>213</v>
      </c>
      <c r="B66" t="s">
        <v>96</v>
      </c>
      <c r="C66">
        <v>11.875</v>
      </c>
      <c r="D66">
        <v>18</v>
      </c>
      <c r="E66">
        <v>24.642857142857142</v>
      </c>
      <c r="F66">
        <v>8.25</v>
      </c>
      <c r="G66">
        <v>8.25</v>
      </c>
      <c r="H66">
        <f t="shared" ref="H66:H97" si="4">SUM(C66:G66)</f>
        <v>71.017857142857139</v>
      </c>
      <c r="I66">
        <f t="shared" ref="I66:I97" si="5">_xlfn.RANK.EQ(H66,$H$2:$H$151,0)</f>
        <v>65</v>
      </c>
      <c r="J66" t="str" cm="1">
        <f t="array" ref="J66">_xlfn.IFS(
H66&gt;=80," Investment Ready",
H66&gt;=60," Emerging Potential",
H66&gt;=40," Needs Capacity Support ",
TRUE,"High Risk")</f>
        <v xml:space="preserve"> Emerging Potential</v>
      </c>
    </row>
    <row r="67" spans="1:10" x14ac:dyDescent="0.35">
      <c r="A67" t="s">
        <v>226</v>
      </c>
      <c r="B67" t="s">
        <v>225</v>
      </c>
      <c r="C67">
        <v>10.714285714285714</v>
      </c>
      <c r="D67">
        <v>18</v>
      </c>
      <c r="E67">
        <v>20.357142857142858</v>
      </c>
      <c r="F67">
        <v>12.1875</v>
      </c>
      <c r="G67">
        <v>9.75</v>
      </c>
      <c r="H67">
        <f t="shared" si="4"/>
        <v>71.008928571428569</v>
      </c>
      <c r="I67">
        <f t="shared" si="5"/>
        <v>66</v>
      </c>
      <c r="J67" t="str" cm="1">
        <f t="array" ref="J67">_xlfn.IFS(
H67&gt;=80," Investment Ready",
H67&gt;=60," Emerging Potential",
H67&gt;=40," Needs Capacity Support ",
TRUE,"High Risk")</f>
        <v xml:space="preserve"> Emerging Potential</v>
      </c>
    </row>
    <row r="68" spans="1:10" x14ac:dyDescent="0.35">
      <c r="A68" t="s">
        <v>208</v>
      </c>
      <c r="B68" t="s">
        <v>207</v>
      </c>
      <c r="C68">
        <v>15</v>
      </c>
      <c r="D68">
        <v>12</v>
      </c>
      <c r="E68">
        <v>19.285714285714288</v>
      </c>
      <c r="F68">
        <v>10.5</v>
      </c>
      <c r="G68">
        <v>13.5</v>
      </c>
      <c r="H68">
        <f t="shared" si="4"/>
        <v>70.285714285714292</v>
      </c>
      <c r="I68">
        <f t="shared" si="5"/>
        <v>67</v>
      </c>
      <c r="J68" t="str" cm="1">
        <f t="array" ref="J68">_xlfn.IFS(
H68&gt;=80," Investment Ready",
H68&gt;=60," Emerging Potential",
H68&gt;=40," Needs Capacity Support ",
TRUE,"High Risk")</f>
        <v xml:space="preserve"> Emerging Potential</v>
      </c>
    </row>
    <row r="69" spans="1:10" x14ac:dyDescent="0.35">
      <c r="A69" t="s">
        <v>219</v>
      </c>
      <c r="B69" t="s">
        <v>218</v>
      </c>
      <c r="C69">
        <v>12.5</v>
      </c>
      <c r="D69">
        <v>15</v>
      </c>
      <c r="E69">
        <v>22.5</v>
      </c>
      <c r="F69">
        <v>8.25</v>
      </c>
      <c r="G69">
        <v>12</v>
      </c>
      <c r="H69">
        <f t="shared" si="4"/>
        <v>70.25</v>
      </c>
      <c r="I69">
        <f t="shared" si="5"/>
        <v>68</v>
      </c>
      <c r="J69" t="str" cm="1">
        <f t="array" ref="J69">_xlfn.IFS(
H69&gt;=80," Investment Ready",
H69&gt;=60," Emerging Potential",
H69&gt;=40," Needs Capacity Support ",
TRUE,"High Risk")</f>
        <v xml:space="preserve"> Emerging Potential</v>
      </c>
    </row>
    <row r="70" spans="1:10" x14ac:dyDescent="0.35">
      <c r="A70" t="s">
        <v>214</v>
      </c>
      <c r="B70" t="s">
        <v>150</v>
      </c>
      <c r="C70">
        <v>13.125</v>
      </c>
      <c r="D70">
        <v>17</v>
      </c>
      <c r="E70">
        <v>23.571428571428569</v>
      </c>
      <c r="F70">
        <v>4.5</v>
      </c>
      <c r="G70">
        <v>12</v>
      </c>
      <c r="H70">
        <f t="shared" si="4"/>
        <v>70.196428571428569</v>
      </c>
      <c r="I70">
        <f t="shared" si="5"/>
        <v>69</v>
      </c>
      <c r="J70" t="str" cm="1">
        <f t="array" ref="J70">_xlfn.IFS(
H70&gt;=80," Investment Ready",
H70&gt;=60," Emerging Potential",
H70&gt;=40," Needs Capacity Support ",
TRUE,"High Risk")</f>
        <v xml:space="preserve"> Emerging Potential</v>
      </c>
    </row>
    <row r="71" spans="1:10" x14ac:dyDescent="0.35">
      <c r="A71" t="s">
        <v>27</v>
      </c>
      <c r="B71" t="s">
        <v>26</v>
      </c>
      <c r="C71">
        <v>16.25</v>
      </c>
      <c r="D71">
        <v>14</v>
      </c>
      <c r="E71">
        <v>13.928571428571429</v>
      </c>
      <c r="F71">
        <v>13.5</v>
      </c>
      <c r="G71">
        <v>12</v>
      </c>
      <c r="H71">
        <f t="shared" si="4"/>
        <v>69.678571428571431</v>
      </c>
      <c r="I71">
        <f t="shared" si="5"/>
        <v>70</v>
      </c>
      <c r="J71" t="str" cm="1">
        <f t="array" ref="J71">_xlfn.IFS(
H71&gt;=80," Investment Ready",
H71&gt;=60," Emerging Potential",
H71&gt;=40," Needs Capacity Support ",
TRUE,"High Risk")</f>
        <v xml:space="preserve"> Emerging Potential</v>
      </c>
    </row>
    <row r="72" spans="1:10" x14ac:dyDescent="0.35">
      <c r="A72" t="s">
        <v>187</v>
      </c>
      <c r="B72" t="s">
        <v>176</v>
      </c>
      <c r="C72">
        <v>16.875</v>
      </c>
      <c r="D72">
        <v>13</v>
      </c>
      <c r="E72">
        <v>15</v>
      </c>
      <c r="F72">
        <v>10.5</v>
      </c>
      <c r="G72">
        <v>13.5</v>
      </c>
      <c r="H72">
        <f t="shared" si="4"/>
        <v>68.875</v>
      </c>
      <c r="I72">
        <f t="shared" si="5"/>
        <v>71</v>
      </c>
      <c r="J72" t="str" cm="1">
        <f t="array" ref="J72">_xlfn.IFS(
H72&gt;=80," Investment Ready",
H72&gt;=60," Emerging Potential",
H72&gt;=40," Needs Capacity Support ",
TRUE,"High Risk")</f>
        <v xml:space="preserve"> Emerging Potential</v>
      </c>
    </row>
    <row r="73" spans="1:10" x14ac:dyDescent="0.35">
      <c r="A73" t="s">
        <v>247</v>
      </c>
      <c r="B73" t="s">
        <v>198</v>
      </c>
      <c r="C73">
        <v>13.125</v>
      </c>
      <c r="D73">
        <v>15</v>
      </c>
      <c r="E73">
        <v>19.285714285714288</v>
      </c>
      <c r="F73">
        <v>12</v>
      </c>
      <c r="G73">
        <v>9</v>
      </c>
      <c r="H73">
        <f t="shared" si="4"/>
        <v>68.410714285714292</v>
      </c>
      <c r="I73">
        <f t="shared" si="5"/>
        <v>72</v>
      </c>
      <c r="J73" t="str" cm="1">
        <f t="array" ref="J73">_xlfn.IFS(
H73&gt;=80," Investment Ready",
H73&gt;=60," Emerging Potential",
H73&gt;=40," Needs Capacity Support ",
TRUE,"High Risk")</f>
        <v xml:space="preserve"> Emerging Potential</v>
      </c>
    </row>
    <row r="74" spans="1:10" x14ac:dyDescent="0.35">
      <c r="A74" t="s">
        <v>37</v>
      </c>
      <c r="B74" t="s">
        <v>36</v>
      </c>
      <c r="C74">
        <v>14.375</v>
      </c>
      <c r="D74">
        <v>11</v>
      </c>
      <c r="E74">
        <v>24.642857142857142</v>
      </c>
      <c r="F74">
        <v>6</v>
      </c>
      <c r="G74">
        <v>12</v>
      </c>
      <c r="H74">
        <f t="shared" si="4"/>
        <v>68.017857142857139</v>
      </c>
      <c r="I74">
        <f t="shared" si="5"/>
        <v>73</v>
      </c>
      <c r="J74" t="str" cm="1">
        <f t="array" ref="J74">_xlfn.IFS(
H74&gt;=80," Investment Ready",
H74&gt;=60," Emerging Potential",
H74&gt;=40," Needs Capacity Support ",
TRUE,"High Risk")</f>
        <v xml:space="preserve"> Emerging Potential</v>
      </c>
    </row>
    <row r="75" spans="1:10" x14ac:dyDescent="0.35">
      <c r="A75" t="s">
        <v>222</v>
      </c>
      <c r="B75" t="s">
        <v>221</v>
      </c>
      <c r="C75">
        <v>16.875</v>
      </c>
      <c r="D75">
        <v>14</v>
      </c>
      <c r="E75">
        <v>16.071428571428569</v>
      </c>
      <c r="F75">
        <v>9</v>
      </c>
      <c r="G75">
        <v>12</v>
      </c>
      <c r="H75">
        <f t="shared" si="4"/>
        <v>67.946428571428569</v>
      </c>
      <c r="I75">
        <f t="shared" si="5"/>
        <v>74</v>
      </c>
      <c r="J75" t="str" cm="1">
        <f t="array" ref="J75">_xlfn.IFS(
H75&gt;=80," Investment Ready",
H75&gt;=60," Emerging Potential",
H75&gt;=40," Needs Capacity Support ",
TRUE,"High Risk")</f>
        <v xml:space="preserve"> Emerging Potential</v>
      </c>
    </row>
    <row r="76" spans="1:10" x14ac:dyDescent="0.35">
      <c r="A76" t="s">
        <v>252</v>
      </c>
      <c r="B76" t="s">
        <v>251</v>
      </c>
      <c r="C76">
        <v>15</v>
      </c>
      <c r="D76">
        <v>17</v>
      </c>
      <c r="E76">
        <v>13.928571428571429</v>
      </c>
      <c r="F76">
        <v>11.25</v>
      </c>
      <c r="G76">
        <v>10.5</v>
      </c>
      <c r="H76">
        <f t="shared" si="4"/>
        <v>67.678571428571431</v>
      </c>
      <c r="I76">
        <f t="shared" si="5"/>
        <v>75</v>
      </c>
      <c r="J76" t="str" cm="1">
        <f t="array" ref="J76">_xlfn.IFS(
H76&gt;=80," Investment Ready",
H76&gt;=60," Emerging Potential",
H76&gt;=40," Needs Capacity Support ",
TRUE,"High Risk")</f>
        <v xml:space="preserve"> Emerging Potential</v>
      </c>
    </row>
    <row r="77" spans="1:10" x14ac:dyDescent="0.35">
      <c r="A77" t="s">
        <v>304</v>
      </c>
      <c r="B77" t="s">
        <v>303</v>
      </c>
      <c r="C77">
        <v>9.375</v>
      </c>
      <c r="D77">
        <v>18</v>
      </c>
      <c r="E77">
        <v>19.285714285714288</v>
      </c>
      <c r="F77">
        <v>12</v>
      </c>
      <c r="G77">
        <v>9</v>
      </c>
      <c r="H77">
        <f t="shared" si="4"/>
        <v>67.660714285714292</v>
      </c>
      <c r="I77">
        <f t="shared" si="5"/>
        <v>76</v>
      </c>
      <c r="J77" t="str" cm="1">
        <f t="array" ref="J77">_xlfn.IFS(
H77&gt;=80," Investment Ready",
H77&gt;=60," Emerging Potential",
H77&gt;=40," Needs Capacity Support ",
TRUE,"High Risk")</f>
        <v xml:space="preserve"> Emerging Potential</v>
      </c>
    </row>
    <row r="78" spans="1:10" x14ac:dyDescent="0.35">
      <c r="A78" t="s">
        <v>179</v>
      </c>
      <c r="B78" t="s">
        <v>178</v>
      </c>
      <c r="C78">
        <v>15</v>
      </c>
      <c r="D78">
        <v>9</v>
      </c>
      <c r="E78">
        <v>18.75</v>
      </c>
      <c r="F78">
        <v>10.5</v>
      </c>
      <c r="G78">
        <v>14.25</v>
      </c>
      <c r="H78">
        <f t="shared" si="4"/>
        <v>67.5</v>
      </c>
      <c r="I78">
        <f t="shared" si="5"/>
        <v>77</v>
      </c>
      <c r="J78" t="str" cm="1">
        <f t="array" ref="J78">_xlfn.IFS(
H78&gt;=80," Investment Ready",
H78&gt;=60," Emerging Potential",
H78&gt;=40," Needs Capacity Support ",
TRUE,"High Risk")</f>
        <v xml:space="preserve"> Emerging Potential</v>
      </c>
    </row>
    <row r="79" spans="1:10" x14ac:dyDescent="0.35">
      <c r="A79" t="s">
        <v>210</v>
      </c>
      <c r="B79" t="s">
        <v>209</v>
      </c>
      <c r="C79">
        <v>11.875</v>
      </c>
      <c r="D79">
        <v>11</v>
      </c>
      <c r="E79">
        <v>23.571428571428569</v>
      </c>
      <c r="F79">
        <v>11.25</v>
      </c>
      <c r="G79">
        <v>9.75</v>
      </c>
      <c r="H79">
        <f t="shared" si="4"/>
        <v>67.446428571428569</v>
      </c>
      <c r="I79">
        <f t="shared" si="5"/>
        <v>78</v>
      </c>
      <c r="J79" t="str" cm="1">
        <f t="array" ref="J79">_xlfn.IFS(
H79&gt;=80," Investment Ready",
H79&gt;=60," Emerging Potential",
H79&gt;=40," Needs Capacity Support ",
TRUE,"High Risk")</f>
        <v xml:space="preserve"> Emerging Potential</v>
      </c>
    </row>
    <row r="80" spans="1:10" x14ac:dyDescent="0.35">
      <c r="A80" t="s">
        <v>249</v>
      </c>
      <c r="B80" t="s">
        <v>248</v>
      </c>
      <c r="C80">
        <v>14.375</v>
      </c>
      <c r="D80">
        <v>13</v>
      </c>
      <c r="E80">
        <v>18.214285714285712</v>
      </c>
      <c r="F80">
        <v>8.25</v>
      </c>
      <c r="G80">
        <v>13.5</v>
      </c>
      <c r="H80">
        <f t="shared" si="4"/>
        <v>67.339285714285708</v>
      </c>
      <c r="I80">
        <f t="shared" si="5"/>
        <v>79</v>
      </c>
      <c r="J80" t="str" cm="1">
        <f t="array" ref="J80">_xlfn.IFS(
H80&gt;=80," Investment Ready",
H80&gt;=60," Emerging Potential",
H80&gt;=40," Needs Capacity Support ",
TRUE,"High Risk")</f>
        <v xml:space="preserve"> Emerging Potential</v>
      </c>
    </row>
    <row r="81" spans="1:10" x14ac:dyDescent="0.35">
      <c r="A81" t="s">
        <v>181</v>
      </c>
      <c r="B81" t="s">
        <v>180</v>
      </c>
      <c r="C81">
        <v>16.25</v>
      </c>
      <c r="D81">
        <v>7.5</v>
      </c>
      <c r="E81">
        <v>22.5</v>
      </c>
      <c r="F81">
        <v>10.5</v>
      </c>
      <c r="G81">
        <v>10.5</v>
      </c>
      <c r="H81">
        <f t="shared" si="4"/>
        <v>67.25</v>
      </c>
      <c r="I81">
        <f t="shared" si="5"/>
        <v>80</v>
      </c>
      <c r="J81" t="str" cm="1">
        <f t="array" ref="J81">_xlfn.IFS(
H81&gt;=80," Investment Ready",
H81&gt;=60," Emerging Potential",
H81&gt;=40," Needs Capacity Support ",
TRUE,"High Risk")</f>
        <v xml:space="preserve"> Emerging Potential</v>
      </c>
    </row>
    <row r="82" spans="1:10" x14ac:dyDescent="0.35">
      <c r="A82" t="s">
        <v>232</v>
      </c>
      <c r="B82" t="s">
        <v>174</v>
      </c>
      <c r="C82">
        <v>14.375</v>
      </c>
      <c r="D82">
        <v>14</v>
      </c>
      <c r="E82">
        <v>23.571428571428569</v>
      </c>
      <c r="F82">
        <v>6.75</v>
      </c>
      <c r="G82">
        <v>8.25</v>
      </c>
      <c r="H82">
        <f t="shared" si="4"/>
        <v>66.946428571428569</v>
      </c>
      <c r="I82">
        <f t="shared" si="5"/>
        <v>81</v>
      </c>
      <c r="J82" t="str" cm="1">
        <f t="array" ref="J82">_xlfn.IFS(
H82&gt;=80," Investment Ready",
H82&gt;=60," Emerging Potential",
H82&gt;=40," Needs Capacity Support ",
TRUE,"High Risk")</f>
        <v xml:space="preserve"> Emerging Potential</v>
      </c>
    </row>
    <row r="83" spans="1:10" x14ac:dyDescent="0.35">
      <c r="A83" t="s">
        <v>236</v>
      </c>
      <c r="B83" t="s">
        <v>235</v>
      </c>
      <c r="C83">
        <v>13.75</v>
      </c>
      <c r="D83">
        <v>11</v>
      </c>
      <c r="E83">
        <v>22.5</v>
      </c>
      <c r="F83">
        <v>10.5</v>
      </c>
      <c r="G83">
        <v>9</v>
      </c>
      <c r="H83">
        <f t="shared" si="4"/>
        <v>66.75</v>
      </c>
      <c r="I83">
        <f t="shared" si="5"/>
        <v>82</v>
      </c>
      <c r="J83" t="str" cm="1">
        <f t="array" ref="J83">_xlfn.IFS(
H83&gt;=80," Investment Ready",
H83&gt;=60," Emerging Potential",
H83&gt;=40," Needs Capacity Support ",
TRUE,"High Risk")</f>
        <v xml:space="preserve"> Emerging Potential</v>
      </c>
    </row>
    <row r="84" spans="1:10" x14ac:dyDescent="0.35">
      <c r="A84" t="s">
        <v>122</v>
      </c>
      <c r="B84" t="s">
        <v>121</v>
      </c>
      <c r="C84">
        <v>14.375</v>
      </c>
      <c r="D84">
        <v>10</v>
      </c>
      <c r="E84">
        <v>23.571428571428569</v>
      </c>
      <c r="F84">
        <v>8.25</v>
      </c>
      <c r="G84">
        <v>10.5</v>
      </c>
      <c r="H84">
        <f t="shared" si="4"/>
        <v>66.696428571428569</v>
      </c>
      <c r="I84">
        <f t="shared" si="5"/>
        <v>83</v>
      </c>
      <c r="J84" t="str" cm="1">
        <f t="array" ref="J84">_xlfn.IFS(
H84&gt;=80," Investment Ready",
H84&gt;=60," Emerging Potential",
H84&gt;=40," Needs Capacity Support ",
TRUE,"High Risk")</f>
        <v xml:space="preserve"> Emerging Potential</v>
      </c>
    </row>
    <row r="85" spans="1:10" x14ac:dyDescent="0.35">
      <c r="A85" t="s">
        <v>231</v>
      </c>
      <c r="B85" t="s">
        <v>230</v>
      </c>
      <c r="C85">
        <v>17.142857142857142</v>
      </c>
      <c r="D85">
        <v>18</v>
      </c>
      <c r="E85">
        <v>11.785714285714285</v>
      </c>
      <c r="F85">
        <v>8.25</v>
      </c>
      <c r="G85">
        <v>11.25</v>
      </c>
      <c r="H85">
        <f t="shared" si="4"/>
        <v>66.428571428571416</v>
      </c>
      <c r="I85">
        <f t="shared" si="5"/>
        <v>84</v>
      </c>
      <c r="J85" t="str" cm="1">
        <f t="array" ref="J85">_xlfn.IFS(
H85&gt;=80," Investment Ready",
H85&gt;=60," Emerging Potential",
H85&gt;=40," Needs Capacity Support ",
TRUE,"High Risk")</f>
        <v xml:space="preserve"> Emerging Potential</v>
      </c>
    </row>
    <row r="86" spans="1:10" x14ac:dyDescent="0.35">
      <c r="A86" t="s">
        <v>264</v>
      </c>
      <c r="B86" t="s">
        <v>263</v>
      </c>
      <c r="C86">
        <v>11.875</v>
      </c>
      <c r="D86">
        <v>11</v>
      </c>
      <c r="E86">
        <v>17.142857142857142</v>
      </c>
      <c r="F86">
        <v>15</v>
      </c>
      <c r="G86">
        <v>11.25</v>
      </c>
      <c r="H86">
        <f t="shared" si="4"/>
        <v>66.267857142857139</v>
      </c>
      <c r="I86">
        <f t="shared" si="5"/>
        <v>85</v>
      </c>
      <c r="J86" t="str" cm="1">
        <f t="array" ref="J86">_xlfn.IFS(
H86&gt;=80," Investment Ready",
H86&gt;=60," Emerging Potential",
H86&gt;=40," Needs Capacity Support ",
TRUE,"High Risk")</f>
        <v xml:space="preserve"> Emerging Potential</v>
      </c>
    </row>
    <row r="87" spans="1:10" x14ac:dyDescent="0.35">
      <c r="A87" t="s">
        <v>41</v>
      </c>
      <c r="B87" t="s">
        <v>40</v>
      </c>
      <c r="C87">
        <v>17.5</v>
      </c>
      <c r="D87">
        <v>9</v>
      </c>
      <c r="E87">
        <v>15</v>
      </c>
      <c r="F87">
        <v>12.75</v>
      </c>
      <c r="G87">
        <v>12</v>
      </c>
      <c r="H87">
        <f t="shared" si="4"/>
        <v>66.25</v>
      </c>
      <c r="I87">
        <f t="shared" si="5"/>
        <v>86</v>
      </c>
      <c r="J87" t="str" cm="1">
        <f t="array" ref="J87">_xlfn.IFS(
H87&gt;=80," Investment Ready",
H87&gt;=60," Emerging Potential",
H87&gt;=40," Needs Capacity Support ",
TRUE,"High Risk")</f>
        <v xml:space="preserve"> Emerging Potential</v>
      </c>
    </row>
    <row r="88" spans="1:10" x14ac:dyDescent="0.35">
      <c r="A88" t="s">
        <v>140</v>
      </c>
      <c r="B88" t="s">
        <v>139</v>
      </c>
      <c r="C88">
        <v>19.375</v>
      </c>
      <c r="D88">
        <v>12</v>
      </c>
      <c r="E88">
        <v>18.214285714285712</v>
      </c>
      <c r="F88">
        <v>6.75</v>
      </c>
      <c r="G88">
        <v>9.75</v>
      </c>
      <c r="H88">
        <f t="shared" si="4"/>
        <v>66.089285714285708</v>
      </c>
      <c r="I88">
        <f t="shared" si="5"/>
        <v>87</v>
      </c>
      <c r="J88" t="str" cm="1">
        <f t="array" ref="J88">_xlfn.IFS(
H88&gt;=80," Investment Ready",
H88&gt;=60," Emerging Potential",
H88&gt;=40," Needs Capacity Support ",
TRUE,"High Risk")</f>
        <v xml:space="preserve"> Emerging Potential</v>
      </c>
    </row>
    <row r="89" spans="1:10" x14ac:dyDescent="0.35">
      <c r="A89" t="s">
        <v>234</v>
      </c>
      <c r="B89" t="s">
        <v>233</v>
      </c>
      <c r="C89">
        <v>16.875</v>
      </c>
      <c r="D89">
        <v>13.75</v>
      </c>
      <c r="E89">
        <v>12.857142857142856</v>
      </c>
      <c r="F89">
        <v>11.25</v>
      </c>
      <c r="G89">
        <v>11.25</v>
      </c>
      <c r="H89">
        <f t="shared" si="4"/>
        <v>65.982142857142861</v>
      </c>
      <c r="I89">
        <f t="shared" si="5"/>
        <v>88</v>
      </c>
      <c r="J89" t="str" cm="1">
        <f t="array" ref="J89">_xlfn.IFS(
H89&gt;=80," Investment Ready",
H89&gt;=60," Emerging Potential",
H89&gt;=40," Needs Capacity Support ",
TRUE,"High Risk")</f>
        <v xml:space="preserve"> Emerging Potential</v>
      </c>
    </row>
    <row r="90" spans="1:10" x14ac:dyDescent="0.35">
      <c r="A90" t="s">
        <v>169</v>
      </c>
      <c r="B90" t="s">
        <v>168</v>
      </c>
      <c r="C90">
        <v>14.375</v>
      </c>
      <c r="D90">
        <v>13</v>
      </c>
      <c r="E90">
        <v>22.5</v>
      </c>
      <c r="F90">
        <v>6.75</v>
      </c>
      <c r="G90">
        <v>9</v>
      </c>
      <c r="H90">
        <f t="shared" si="4"/>
        <v>65.625</v>
      </c>
      <c r="I90">
        <f t="shared" si="5"/>
        <v>89</v>
      </c>
      <c r="J90" t="str" cm="1">
        <f t="array" ref="J90">_xlfn.IFS(
H90&gt;=80," Investment Ready",
H90&gt;=60," Emerging Potential",
H90&gt;=40," Needs Capacity Support ",
TRUE,"High Risk")</f>
        <v xml:space="preserve"> Emerging Potential</v>
      </c>
    </row>
    <row r="91" spans="1:10" x14ac:dyDescent="0.35">
      <c r="A91" t="s">
        <v>260</v>
      </c>
      <c r="B91" t="s">
        <v>259</v>
      </c>
      <c r="C91">
        <v>14.375</v>
      </c>
      <c r="D91">
        <v>13</v>
      </c>
      <c r="E91">
        <v>19.285714285714288</v>
      </c>
      <c r="F91">
        <v>10.5</v>
      </c>
      <c r="G91">
        <v>8.25</v>
      </c>
      <c r="H91">
        <f t="shared" si="4"/>
        <v>65.410714285714292</v>
      </c>
      <c r="I91">
        <f t="shared" si="5"/>
        <v>90</v>
      </c>
      <c r="J91" t="str" cm="1">
        <f t="array" ref="J91">_xlfn.IFS(
H91&gt;=80," Investment Ready",
H91&gt;=60," Emerging Potential",
H91&gt;=40," Needs Capacity Support ",
TRUE,"High Risk")</f>
        <v xml:space="preserve"> Emerging Potential</v>
      </c>
    </row>
    <row r="92" spans="1:10" x14ac:dyDescent="0.35">
      <c r="A92" t="s">
        <v>242</v>
      </c>
      <c r="B92" t="s">
        <v>241</v>
      </c>
      <c r="C92">
        <v>17.5</v>
      </c>
      <c r="D92">
        <v>14</v>
      </c>
      <c r="E92">
        <v>20.357142857142858</v>
      </c>
      <c r="F92">
        <v>6</v>
      </c>
      <c r="G92">
        <v>7.5</v>
      </c>
      <c r="H92">
        <f t="shared" si="4"/>
        <v>65.357142857142861</v>
      </c>
      <c r="I92">
        <f t="shared" si="5"/>
        <v>91</v>
      </c>
      <c r="J92" t="str" cm="1">
        <f t="array" ref="J92">_xlfn.IFS(
H92&gt;=80," Investment Ready",
H92&gt;=60," Emerging Potential",
H92&gt;=40," Needs Capacity Support ",
TRUE,"High Risk")</f>
        <v xml:space="preserve"> Emerging Potential</v>
      </c>
    </row>
    <row r="93" spans="1:10" x14ac:dyDescent="0.35">
      <c r="A93" t="s">
        <v>137</v>
      </c>
      <c r="B93" t="s">
        <v>136</v>
      </c>
      <c r="C93">
        <v>17.5</v>
      </c>
      <c r="D93">
        <v>7.5</v>
      </c>
      <c r="E93">
        <v>23.571428571428569</v>
      </c>
      <c r="F93">
        <v>6.75</v>
      </c>
      <c r="G93">
        <v>9.75</v>
      </c>
      <c r="H93">
        <f t="shared" si="4"/>
        <v>65.071428571428569</v>
      </c>
      <c r="I93">
        <f t="shared" si="5"/>
        <v>92</v>
      </c>
      <c r="J93" t="str" cm="1">
        <f t="array" ref="J93">_xlfn.IFS(
H93&gt;=80," Investment Ready",
H93&gt;=60," Emerging Potential",
H93&gt;=40," Needs Capacity Support ",
TRUE,"High Risk")</f>
        <v xml:space="preserve"> Emerging Potential</v>
      </c>
    </row>
    <row r="94" spans="1:10" x14ac:dyDescent="0.35">
      <c r="A94" t="s">
        <v>262</v>
      </c>
      <c r="B94" t="s">
        <v>261</v>
      </c>
      <c r="C94">
        <v>13.125</v>
      </c>
      <c r="D94">
        <v>9</v>
      </c>
      <c r="E94">
        <v>22.5</v>
      </c>
      <c r="F94">
        <v>7.5</v>
      </c>
      <c r="G94">
        <v>12.75</v>
      </c>
      <c r="H94">
        <f t="shared" si="4"/>
        <v>64.875</v>
      </c>
      <c r="I94">
        <f t="shared" si="5"/>
        <v>93</v>
      </c>
      <c r="J94" t="str" cm="1">
        <f t="array" ref="J94">_xlfn.IFS(
H94&gt;=80," Investment Ready",
H94&gt;=60," Emerging Potential",
H94&gt;=40," Needs Capacity Support ",
TRUE,"High Risk")</f>
        <v xml:space="preserve"> Emerging Potential</v>
      </c>
    </row>
    <row r="95" spans="1:10" x14ac:dyDescent="0.35">
      <c r="A95" t="s">
        <v>157</v>
      </c>
      <c r="B95" t="s">
        <v>156</v>
      </c>
      <c r="C95">
        <v>8.75</v>
      </c>
      <c r="D95">
        <v>18</v>
      </c>
      <c r="E95">
        <v>19.285714285714288</v>
      </c>
      <c r="F95">
        <v>10.5</v>
      </c>
      <c r="G95">
        <v>8.25</v>
      </c>
      <c r="H95">
        <f t="shared" si="4"/>
        <v>64.785714285714292</v>
      </c>
      <c r="I95">
        <f t="shared" si="5"/>
        <v>94</v>
      </c>
      <c r="J95" t="str" cm="1">
        <f t="array" ref="J95">_xlfn.IFS(
H95&gt;=80," Investment Ready",
H95&gt;=60," Emerging Potential",
H95&gt;=40," Needs Capacity Support ",
TRUE,"High Risk")</f>
        <v xml:space="preserve"> Emerging Potential</v>
      </c>
    </row>
    <row r="96" spans="1:10" x14ac:dyDescent="0.35">
      <c r="A96" t="s">
        <v>126</v>
      </c>
      <c r="B96" t="s">
        <v>125</v>
      </c>
      <c r="C96">
        <v>16.428571428571427</v>
      </c>
      <c r="D96">
        <v>10</v>
      </c>
      <c r="E96">
        <v>20</v>
      </c>
      <c r="F96">
        <v>6.75</v>
      </c>
      <c r="G96">
        <v>11.25</v>
      </c>
      <c r="H96">
        <f t="shared" si="4"/>
        <v>64.428571428571431</v>
      </c>
      <c r="I96">
        <f t="shared" si="5"/>
        <v>95</v>
      </c>
      <c r="J96" t="str" cm="1">
        <f t="array" ref="J96">_xlfn.IFS(
H96&gt;=80," Investment Ready",
H96&gt;=60," Emerging Potential",
H96&gt;=40," Needs Capacity Support ",
TRUE,"High Risk")</f>
        <v xml:space="preserve"> Emerging Potential</v>
      </c>
    </row>
    <row r="97" spans="1:10" x14ac:dyDescent="0.35">
      <c r="A97" t="s">
        <v>322</v>
      </c>
      <c r="B97" t="s">
        <v>321</v>
      </c>
      <c r="C97">
        <v>15</v>
      </c>
      <c r="D97">
        <v>16</v>
      </c>
      <c r="E97">
        <v>18.214285714285712</v>
      </c>
      <c r="F97">
        <v>6.75</v>
      </c>
      <c r="G97">
        <v>8.25</v>
      </c>
      <c r="H97">
        <f t="shared" si="4"/>
        <v>64.214285714285708</v>
      </c>
      <c r="I97">
        <f t="shared" si="5"/>
        <v>96</v>
      </c>
      <c r="J97" t="str" cm="1">
        <f t="array" ref="J97">_xlfn.IFS(
H97&gt;=80," Investment Ready",
H97&gt;=60," Emerging Potential",
H97&gt;=40," Needs Capacity Support ",
TRUE,"High Risk")</f>
        <v xml:space="preserve"> Emerging Potential</v>
      </c>
    </row>
    <row r="98" spans="1:10" x14ac:dyDescent="0.35">
      <c r="A98" t="s">
        <v>175</v>
      </c>
      <c r="B98" t="s">
        <v>174</v>
      </c>
      <c r="C98">
        <v>12.5</v>
      </c>
      <c r="D98">
        <v>11</v>
      </c>
      <c r="E98">
        <v>20.357142857142858</v>
      </c>
      <c r="F98">
        <v>9.75</v>
      </c>
      <c r="G98">
        <v>10.5</v>
      </c>
      <c r="H98">
        <f t="shared" ref="H98:H129" si="6">SUM(C98:G98)</f>
        <v>64.107142857142861</v>
      </c>
      <c r="I98">
        <f t="shared" ref="I98:I129" si="7">_xlfn.RANK.EQ(H98,$H$2:$H$151,0)</f>
        <v>97</v>
      </c>
      <c r="J98" t="str" cm="1">
        <f t="array" ref="J98">_xlfn.IFS(
H98&gt;=80," Investment Ready",
H98&gt;=60," Emerging Potential",
H98&gt;=40," Needs Capacity Support ",
TRUE,"High Risk")</f>
        <v xml:space="preserve"> Emerging Potential</v>
      </c>
    </row>
    <row r="99" spans="1:10" x14ac:dyDescent="0.35">
      <c r="A99" t="s">
        <v>155</v>
      </c>
      <c r="B99" t="s">
        <v>154</v>
      </c>
      <c r="C99">
        <v>14.375</v>
      </c>
      <c r="D99">
        <v>10</v>
      </c>
      <c r="E99">
        <v>21.25</v>
      </c>
      <c r="F99">
        <v>9.375</v>
      </c>
      <c r="G99">
        <v>9</v>
      </c>
      <c r="H99">
        <f t="shared" si="6"/>
        <v>64</v>
      </c>
      <c r="I99">
        <f t="shared" si="7"/>
        <v>98</v>
      </c>
      <c r="J99" t="str" cm="1">
        <f t="array" ref="J99">_xlfn.IFS(
H99&gt;=80," Investment Ready",
H99&gt;=60," Emerging Potential",
H99&gt;=40," Needs Capacity Support ",
TRUE,"High Risk")</f>
        <v xml:space="preserve"> Emerging Potential</v>
      </c>
    </row>
    <row r="100" spans="1:10" x14ac:dyDescent="0.35">
      <c r="A100" t="s">
        <v>212</v>
      </c>
      <c r="B100" t="s">
        <v>211</v>
      </c>
      <c r="C100">
        <v>16.25</v>
      </c>
      <c r="D100">
        <v>10</v>
      </c>
      <c r="E100">
        <v>19.285714285714288</v>
      </c>
      <c r="F100">
        <v>9.75</v>
      </c>
      <c r="G100">
        <v>8.25</v>
      </c>
      <c r="H100">
        <f t="shared" si="6"/>
        <v>63.535714285714292</v>
      </c>
      <c r="I100">
        <f t="shared" si="7"/>
        <v>99</v>
      </c>
      <c r="J100" t="str" cm="1">
        <f t="array" ref="J100">_xlfn.IFS(
H100&gt;=80," Investment Ready",
H100&gt;=60," Emerging Potential",
H100&gt;=40," Needs Capacity Support ",
TRUE,"High Risk")</f>
        <v xml:space="preserve"> Emerging Potential</v>
      </c>
    </row>
    <row r="101" spans="1:10" x14ac:dyDescent="0.35">
      <c r="A101" t="s">
        <v>177</v>
      </c>
      <c r="B101" t="s">
        <v>176</v>
      </c>
      <c r="C101">
        <v>19.375</v>
      </c>
      <c r="D101">
        <v>7.5</v>
      </c>
      <c r="E101">
        <v>19.285714285714288</v>
      </c>
      <c r="F101">
        <v>7.5</v>
      </c>
      <c r="G101">
        <v>9.75</v>
      </c>
      <c r="H101">
        <f t="shared" si="6"/>
        <v>63.410714285714292</v>
      </c>
      <c r="I101">
        <f t="shared" si="7"/>
        <v>100</v>
      </c>
      <c r="J101" t="str" cm="1">
        <f t="array" ref="J101">_xlfn.IFS(
H101&gt;=80," Investment Ready",
H101&gt;=60," Emerging Potential",
H101&gt;=40," Needs Capacity Support ",
TRUE,"High Risk")</f>
        <v xml:space="preserve"> Emerging Potential</v>
      </c>
    </row>
    <row r="102" spans="1:10" x14ac:dyDescent="0.35">
      <c r="A102" t="s">
        <v>246</v>
      </c>
      <c r="B102" t="s">
        <v>245</v>
      </c>
      <c r="C102">
        <v>11.428571428571427</v>
      </c>
      <c r="D102">
        <v>9</v>
      </c>
      <c r="E102">
        <v>23.571428571428569</v>
      </c>
      <c r="F102">
        <v>7.5</v>
      </c>
      <c r="G102">
        <v>11.25</v>
      </c>
      <c r="H102">
        <f t="shared" si="6"/>
        <v>62.75</v>
      </c>
      <c r="I102">
        <f t="shared" si="7"/>
        <v>101</v>
      </c>
      <c r="J102" t="str" cm="1">
        <f t="array" ref="J102">_xlfn.IFS(
H102&gt;=80," Investment Ready",
H102&gt;=60," Emerging Potential",
H102&gt;=40," Needs Capacity Support ",
TRUE,"High Risk")</f>
        <v xml:space="preserve"> Emerging Potential</v>
      </c>
    </row>
    <row r="103" spans="1:10" x14ac:dyDescent="0.35">
      <c r="A103" t="s">
        <v>183</v>
      </c>
      <c r="B103" t="s">
        <v>182</v>
      </c>
      <c r="C103">
        <v>13.125</v>
      </c>
      <c r="D103">
        <v>12.5</v>
      </c>
      <c r="E103">
        <v>12.857142857142856</v>
      </c>
      <c r="F103">
        <v>12</v>
      </c>
      <c r="G103">
        <v>12</v>
      </c>
      <c r="H103">
        <f t="shared" si="6"/>
        <v>62.482142857142854</v>
      </c>
      <c r="I103">
        <f t="shared" si="7"/>
        <v>102</v>
      </c>
      <c r="J103" t="str" cm="1">
        <f t="array" ref="J103">_xlfn.IFS(
H103&gt;=80," Investment Ready",
H103&gt;=60," Emerging Potential",
H103&gt;=40," Needs Capacity Support ",
TRUE,"High Risk")</f>
        <v xml:space="preserve"> Emerging Potential</v>
      </c>
    </row>
    <row r="104" spans="1:10" x14ac:dyDescent="0.35">
      <c r="A104" t="s">
        <v>189</v>
      </c>
      <c r="B104" t="s">
        <v>188</v>
      </c>
      <c r="C104">
        <v>17.5</v>
      </c>
      <c r="D104">
        <v>11.25</v>
      </c>
      <c r="E104">
        <v>19.285714285714288</v>
      </c>
      <c r="F104">
        <v>4.5</v>
      </c>
      <c r="G104">
        <v>9.75</v>
      </c>
      <c r="H104">
        <f t="shared" si="6"/>
        <v>62.285714285714292</v>
      </c>
      <c r="I104">
        <f t="shared" si="7"/>
        <v>103</v>
      </c>
      <c r="J104" t="str" cm="1">
        <f t="array" ref="J104">_xlfn.IFS(
H104&gt;=80," Investment Ready",
H104&gt;=60," Emerging Potential",
H104&gt;=40," Needs Capacity Support ",
TRUE,"High Risk")</f>
        <v xml:space="preserve"> Emerging Potential</v>
      </c>
    </row>
    <row r="105" spans="1:10" x14ac:dyDescent="0.35">
      <c r="A105" t="s">
        <v>147</v>
      </c>
      <c r="B105" t="s">
        <v>146</v>
      </c>
      <c r="C105">
        <v>10.625</v>
      </c>
      <c r="D105">
        <v>13.75</v>
      </c>
      <c r="E105">
        <v>18.214285714285712</v>
      </c>
      <c r="F105">
        <v>8.25</v>
      </c>
      <c r="G105">
        <v>11.25</v>
      </c>
      <c r="H105">
        <f t="shared" si="6"/>
        <v>62.089285714285708</v>
      </c>
      <c r="I105">
        <f t="shared" si="7"/>
        <v>104</v>
      </c>
      <c r="J105" t="str" cm="1">
        <f t="array" ref="J105">_xlfn.IFS(
H105&gt;=80," Investment Ready",
H105&gt;=60," Emerging Potential",
H105&gt;=40," Needs Capacity Support ",
TRUE,"High Risk")</f>
        <v xml:space="preserve"> Emerging Potential</v>
      </c>
    </row>
    <row r="106" spans="1:10" x14ac:dyDescent="0.35">
      <c r="A106" t="s">
        <v>229</v>
      </c>
      <c r="B106" t="s">
        <v>228</v>
      </c>
      <c r="C106">
        <v>8.75</v>
      </c>
      <c r="D106">
        <v>18</v>
      </c>
      <c r="E106">
        <v>16.071428571428569</v>
      </c>
      <c r="F106">
        <v>6.75</v>
      </c>
      <c r="G106">
        <v>12</v>
      </c>
      <c r="H106">
        <f t="shared" si="6"/>
        <v>61.571428571428569</v>
      </c>
      <c r="I106">
        <f t="shared" si="7"/>
        <v>105</v>
      </c>
      <c r="J106" t="str" cm="1">
        <f t="array" ref="J106">_xlfn.IFS(
H106&gt;=80," Investment Ready",
H106&gt;=60," Emerging Potential",
H106&gt;=40," Needs Capacity Support ",
TRUE,"High Risk")</f>
        <v xml:space="preserve"> Emerging Potential</v>
      </c>
    </row>
    <row r="107" spans="1:10" x14ac:dyDescent="0.35">
      <c r="A107" t="s">
        <v>192</v>
      </c>
      <c r="B107" t="s">
        <v>191</v>
      </c>
      <c r="C107">
        <v>13.75</v>
      </c>
      <c r="D107">
        <v>12</v>
      </c>
      <c r="E107">
        <v>23.571428571428569</v>
      </c>
      <c r="F107">
        <v>3.75</v>
      </c>
      <c r="G107">
        <v>8.25</v>
      </c>
      <c r="H107">
        <f t="shared" si="6"/>
        <v>61.321428571428569</v>
      </c>
      <c r="I107">
        <f t="shared" si="7"/>
        <v>106</v>
      </c>
      <c r="J107" t="str" cm="1">
        <f t="array" ref="J107">_xlfn.IFS(
H107&gt;=80," Investment Ready",
H107&gt;=60," Emerging Potential",
H107&gt;=40," Needs Capacity Support ",
TRUE,"High Risk")</f>
        <v xml:space="preserve"> Emerging Potential</v>
      </c>
    </row>
    <row r="108" spans="1:10" x14ac:dyDescent="0.35">
      <c r="A108" t="s">
        <v>244</v>
      </c>
      <c r="B108" t="s">
        <v>139</v>
      </c>
      <c r="C108">
        <v>11.875</v>
      </c>
      <c r="D108">
        <v>10</v>
      </c>
      <c r="E108">
        <v>20.357142857142858</v>
      </c>
      <c r="F108">
        <v>7.5</v>
      </c>
      <c r="G108">
        <v>11.25</v>
      </c>
      <c r="H108">
        <f t="shared" si="6"/>
        <v>60.982142857142861</v>
      </c>
      <c r="I108">
        <f t="shared" si="7"/>
        <v>107</v>
      </c>
      <c r="J108" t="str" cm="1">
        <f t="array" ref="J108">_xlfn.IFS(
H108&gt;=80," Investment Ready",
H108&gt;=60," Emerging Potential",
H108&gt;=40," Needs Capacity Support ",
TRUE,"High Risk")</f>
        <v xml:space="preserve"> Emerging Potential</v>
      </c>
    </row>
    <row r="109" spans="1:10" x14ac:dyDescent="0.35">
      <c r="A109" t="s">
        <v>269</v>
      </c>
      <c r="B109" t="s">
        <v>168</v>
      </c>
      <c r="C109">
        <v>14.375</v>
      </c>
      <c r="D109">
        <v>12</v>
      </c>
      <c r="E109">
        <v>11.785714285714285</v>
      </c>
      <c r="F109">
        <v>11.25</v>
      </c>
      <c r="G109">
        <v>11.25</v>
      </c>
      <c r="H109">
        <f t="shared" si="6"/>
        <v>60.660714285714285</v>
      </c>
      <c r="I109">
        <f t="shared" si="7"/>
        <v>108</v>
      </c>
      <c r="J109" t="str" cm="1">
        <f t="array" ref="J109">_xlfn.IFS(
H109&gt;=80," Investment Ready",
H109&gt;=60," Emerging Potential",
H109&gt;=40," Needs Capacity Support ",
TRUE,"High Risk")</f>
        <v xml:space="preserve"> Emerging Potential</v>
      </c>
    </row>
    <row r="110" spans="1:10" x14ac:dyDescent="0.35">
      <c r="A110" t="s">
        <v>133</v>
      </c>
      <c r="B110" t="s">
        <v>91</v>
      </c>
      <c r="C110">
        <v>16.25</v>
      </c>
      <c r="D110">
        <v>6</v>
      </c>
      <c r="E110">
        <v>13.928571428571429</v>
      </c>
      <c r="F110">
        <v>15</v>
      </c>
      <c r="G110">
        <v>9</v>
      </c>
      <c r="H110">
        <f t="shared" si="6"/>
        <v>60.178571428571431</v>
      </c>
      <c r="I110">
        <f t="shared" si="7"/>
        <v>109</v>
      </c>
      <c r="J110" t="str" cm="1">
        <f t="array" ref="J110">_xlfn.IFS(
H110&gt;=80," Investment Ready",
H110&gt;=60," Emerging Potential",
H110&gt;=40," Needs Capacity Support ",
TRUE,"High Risk")</f>
        <v xml:space="preserve"> Emerging Potential</v>
      </c>
    </row>
    <row r="111" spans="1:10" x14ac:dyDescent="0.35">
      <c r="A111" t="s">
        <v>81</v>
      </c>
      <c r="B111" t="s">
        <v>80</v>
      </c>
      <c r="C111">
        <v>14.375</v>
      </c>
      <c r="D111">
        <v>4</v>
      </c>
      <c r="E111">
        <v>18.214285714285712</v>
      </c>
      <c r="F111">
        <v>9.75</v>
      </c>
      <c r="G111">
        <v>13.5</v>
      </c>
      <c r="H111">
        <f t="shared" si="6"/>
        <v>59.839285714285708</v>
      </c>
      <c r="I111">
        <f t="shared" si="7"/>
        <v>110</v>
      </c>
      <c r="J111" t="str" cm="1">
        <f t="array" ref="J111">_xlfn.IFS(
H111&gt;=80," Investment Ready",
H111&gt;=60," Emerging Potential",
H111&gt;=40," Needs Capacity Support ",
TRUE,"High Risk")</f>
        <v xml:space="preserve"> Needs Capacity Support </v>
      </c>
    </row>
    <row r="112" spans="1:10" x14ac:dyDescent="0.35">
      <c r="A112" t="s">
        <v>31</v>
      </c>
      <c r="B112" t="s">
        <v>30</v>
      </c>
      <c r="C112">
        <v>11.25</v>
      </c>
      <c r="D112">
        <v>13</v>
      </c>
      <c r="E112">
        <v>16.071428571428569</v>
      </c>
      <c r="F112">
        <v>6.75</v>
      </c>
      <c r="G112">
        <v>12.75</v>
      </c>
      <c r="H112">
        <f t="shared" si="6"/>
        <v>59.821428571428569</v>
      </c>
      <c r="I112">
        <f t="shared" si="7"/>
        <v>111</v>
      </c>
      <c r="J112" t="str" cm="1">
        <f t="array" ref="J112">_xlfn.IFS(
H112&gt;=80," Investment Ready",
H112&gt;=60," Emerging Potential",
H112&gt;=40," Needs Capacity Support ",
TRUE,"High Risk")</f>
        <v xml:space="preserve"> Needs Capacity Support </v>
      </c>
    </row>
    <row r="113" spans="1:10" x14ac:dyDescent="0.35">
      <c r="A113" t="s">
        <v>145</v>
      </c>
      <c r="B113" t="s">
        <v>144</v>
      </c>
      <c r="C113">
        <v>13.75</v>
      </c>
      <c r="D113">
        <v>9</v>
      </c>
      <c r="E113">
        <v>18.214285714285712</v>
      </c>
      <c r="F113">
        <v>11.25</v>
      </c>
      <c r="G113">
        <v>7.5</v>
      </c>
      <c r="H113">
        <f t="shared" si="6"/>
        <v>59.714285714285708</v>
      </c>
      <c r="I113">
        <f t="shared" si="7"/>
        <v>112</v>
      </c>
      <c r="J113" t="str" cm="1">
        <f t="array" ref="J113">_xlfn.IFS(
H113&gt;=80," Investment Ready",
H113&gt;=60," Emerging Potential",
H113&gt;=40," Needs Capacity Support ",
TRUE,"High Risk")</f>
        <v xml:space="preserve"> Needs Capacity Support </v>
      </c>
    </row>
    <row r="114" spans="1:10" x14ac:dyDescent="0.35">
      <c r="A114" t="s">
        <v>128</v>
      </c>
      <c r="B114" t="s">
        <v>127</v>
      </c>
      <c r="C114">
        <v>13.125</v>
      </c>
      <c r="D114">
        <v>8</v>
      </c>
      <c r="E114">
        <v>18.214285714285712</v>
      </c>
      <c r="F114">
        <v>12.75</v>
      </c>
      <c r="G114">
        <v>7.5</v>
      </c>
      <c r="H114">
        <f t="shared" si="6"/>
        <v>59.589285714285708</v>
      </c>
      <c r="I114">
        <f t="shared" si="7"/>
        <v>113</v>
      </c>
      <c r="J114" t="str" cm="1">
        <f t="array" ref="J114">_xlfn.IFS(
H114&gt;=80," Investment Ready",
H114&gt;=60," Emerging Potential",
H114&gt;=40," Needs Capacity Support ",
TRUE,"High Risk")</f>
        <v xml:space="preserve"> Needs Capacity Support </v>
      </c>
    </row>
    <row r="115" spans="1:10" x14ac:dyDescent="0.35">
      <c r="A115" t="s">
        <v>171</v>
      </c>
      <c r="B115" t="s">
        <v>170</v>
      </c>
      <c r="C115">
        <v>9.375</v>
      </c>
      <c r="D115">
        <v>17.5</v>
      </c>
      <c r="E115">
        <v>16.071428571428569</v>
      </c>
      <c r="F115">
        <v>4.5</v>
      </c>
      <c r="G115">
        <v>12</v>
      </c>
      <c r="H115">
        <f t="shared" si="6"/>
        <v>59.446428571428569</v>
      </c>
      <c r="I115">
        <f t="shared" si="7"/>
        <v>114</v>
      </c>
      <c r="J115" t="str" cm="1">
        <f t="array" ref="J115">_xlfn.IFS(
H115&gt;=80," Investment Ready",
H115&gt;=60," Emerging Potential",
H115&gt;=40," Needs Capacity Support ",
TRUE,"High Risk")</f>
        <v xml:space="preserve"> Needs Capacity Support </v>
      </c>
    </row>
    <row r="116" spans="1:10" x14ac:dyDescent="0.35">
      <c r="A116" t="s">
        <v>115</v>
      </c>
      <c r="B116" t="s">
        <v>114</v>
      </c>
      <c r="C116">
        <v>13.75</v>
      </c>
      <c r="D116">
        <v>10</v>
      </c>
      <c r="E116">
        <v>11.785714285714285</v>
      </c>
      <c r="F116">
        <v>10.3125</v>
      </c>
      <c r="G116">
        <v>13.5</v>
      </c>
      <c r="H116">
        <f t="shared" si="6"/>
        <v>59.348214285714285</v>
      </c>
      <c r="I116">
        <f t="shared" si="7"/>
        <v>115</v>
      </c>
      <c r="J116" t="str" cm="1">
        <f t="array" ref="J116">_xlfn.IFS(
H116&gt;=80," Investment Ready",
H116&gt;=60," Emerging Potential",
H116&gt;=40," Needs Capacity Support ",
TRUE,"High Risk")</f>
        <v xml:space="preserve"> Needs Capacity Support </v>
      </c>
    </row>
    <row r="117" spans="1:10" x14ac:dyDescent="0.35">
      <c r="A117" t="s">
        <v>100</v>
      </c>
      <c r="B117" t="s">
        <v>99</v>
      </c>
      <c r="C117">
        <v>10.625</v>
      </c>
      <c r="D117">
        <v>10</v>
      </c>
      <c r="E117">
        <v>15</v>
      </c>
      <c r="F117">
        <v>11.25</v>
      </c>
      <c r="G117">
        <v>12</v>
      </c>
      <c r="H117">
        <f t="shared" si="6"/>
        <v>58.875</v>
      </c>
      <c r="I117">
        <f t="shared" si="7"/>
        <v>116</v>
      </c>
      <c r="J117" t="str" cm="1">
        <f t="array" ref="J117">_xlfn.IFS(
H117&gt;=80," Investment Ready",
H117&gt;=60," Emerging Potential",
H117&gt;=40," Needs Capacity Support ",
TRUE,"High Risk")</f>
        <v xml:space="preserve"> Needs Capacity Support </v>
      </c>
    </row>
    <row r="118" spans="1:10" x14ac:dyDescent="0.35">
      <c r="A118" t="s">
        <v>185</v>
      </c>
      <c r="B118" t="s">
        <v>184</v>
      </c>
      <c r="C118">
        <v>19.375</v>
      </c>
      <c r="D118">
        <v>10</v>
      </c>
      <c r="E118">
        <v>10.714285714285715</v>
      </c>
      <c r="F118">
        <v>9</v>
      </c>
      <c r="G118">
        <v>9.75</v>
      </c>
      <c r="H118">
        <f t="shared" si="6"/>
        <v>58.839285714285715</v>
      </c>
      <c r="I118">
        <f t="shared" si="7"/>
        <v>117</v>
      </c>
      <c r="J118" t="str" cm="1">
        <f t="array" ref="J118">_xlfn.IFS(
H118&gt;=80," Investment Ready",
H118&gt;=60," Emerging Potential",
H118&gt;=40," Needs Capacity Support ",
TRUE,"High Risk")</f>
        <v xml:space="preserve"> Needs Capacity Support </v>
      </c>
    </row>
    <row r="119" spans="1:10" x14ac:dyDescent="0.35">
      <c r="A119" t="s">
        <v>275</v>
      </c>
      <c r="B119" t="s">
        <v>172</v>
      </c>
      <c r="C119">
        <v>13.75</v>
      </c>
      <c r="D119">
        <v>8</v>
      </c>
      <c r="E119">
        <v>17.5</v>
      </c>
      <c r="F119">
        <v>12.75</v>
      </c>
      <c r="G119">
        <v>6.75</v>
      </c>
      <c r="H119">
        <f t="shared" si="6"/>
        <v>58.75</v>
      </c>
      <c r="I119">
        <f t="shared" si="7"/>
        <v>118</v>
      </c>
      <c r="J119" t="str" cm="1">
        <f t="array" ref="J119">_xlfn.IFS(
H119&gt;=80," Investment Ready",
H119&gt;=60," Emerging Potential",
H119&gt;=40," Needs Capacity Support ",
TRUE,"High Risk")</f>
        <v xml:space="preserve"> Needs Capacity Support </v>
      </c>
    </row>
    <row r="120" spans="1:10" x14ac:dyDescent="0.35">
      <c r="A120" t="s">
        <v>201</v>
      </c>
      <c r="B120" t="s">
        <v>200</v>
      </c>
      <c r="C120">
        <v>15</v>
      </c>
      <c r="D120">
        <v>12.5</v>
      </c>
      <c r="E120">
        <v>13.928571428571429</v>
      </c>
      <c r="F120">
        <v>6.75</v>
      </c>
      <c r="G120">
        <v>10.3125</v>
      </c>
      <c r="H120">
        <f t="shared" si="6"/>
        <v>58.491071428571431</v>
      </c>
      <c r="I120">
        <f t="shared" si="7"/>
        <v>119</v>
      </c>
      <c r="J120" t="str" cm="1">
        <f t="array" ref="J120">_xlfn.IFS(
H120&gt;=80," Investment Ready",
H120&gt;=60," Emerging Potential",
H120&gt;=40," Needs Capacity Support ",
TRUE,"High Risk")</f>
        <v xml:space="preserve"> Needs Capacity Support </v>
      </c>
    </row>
    <row r="121" spans="1:10" x14ac:dyDescent="0.35">
      <c r="A121" t="s">
        <v>97</v>
      </c>
      <c r="B121" t="s">
        <v>96</v>
      </c>
      <c r="C121">
        <v>15.625</v>
      </c>
      <c r="D121">
        <v>12.5</v>
      </c>
      <c r="E121">
        <v>15</v>
      </c>
      <c r="F121">
        <v>3.75</v>
      </c>
      <c r="G121">
        <v>11.25</v>
      </c>
      <c r="H121">
        <f t="shared" si="6"/>
        <v>58.125</v>
      </c>
      <c r="I121">
        <f t="shared" si="7"/>
        <v>120</v>
      </c>
      <c r="J121" t="str" cm="1">
        <f t="array" ref="J121">_xlfn.IFS(
H121&gt;=80," Investment Ready",
H121&gt;=60," Emerging Potential",
H121&gt;=40," Needs Capacity Support ",
TRUE,"High Risk")</f>
        <v xml:space="preserve"> Needs Capacity Support </v>
      </c>
    </row>
    <row r="122" spans="1:10" x14ac:dyDescent="0.35">
      <c r="A122" t="s">
        <v>17</v>
      </c>
      <c r="B122" t="s">
        <v>16</v>
      </c>
      <c r="C122">
        <v>12.857142857142858</v>
      </c>
      <c r="D122">
        <v>13</v>
      </c>
      <c r="E122">
        <v>13.928571428571429</v>
      </c>
      <c r="F122">
        <v>7.5</v>
      </c>
      <c r="G122">
        <v>10.5</v>
      </c>
      <c r="H122">
        <f t="shared" si="6"/>
        <v>57.785714285714285</v>
      </c>
      <c r="I122">
        <f t="shared" si="7"/>
        <v>121</v>
      </c>
      <c r="J122" t="str" cm="1">
        <f t="array" ref="J122">_xlfn.IFS(
H122&gt;=80," Investment Ready",
H122&gt;=60," Emerging Potential",
H122&gt;=40," Needs Capacity Support ",
TRUE,"High Risk")</f>
        <v xml:space="preserve"> Needs Capacity Support </v>
      </c>
    </row>
    <row r="123" spans="1:10" x14ac:dyDescent="0.35">
      <c r="A123" t="s">
        <v>74</v>
      </c>
      <c r="B123" t="s">
        <v>73</v>
      </c>
      <c r="C123">
        <v>13.75</v>
      </c>
      <c r="D123">
        <v>8</v>
      </c>
      <c r="E123">
        <v>13.928571428571429</v>
      </c>
      <c r="F123">
        <v>6.75</v>
      </c>
      <c r="G123">
        <v>15</v>
      </c>
      <c r="H123">
        <f t="shared" si="6"/>
        <v>57.428571428571431</v>
      </c>
      <c r="I123">
        <f t="shared" si="7"/>
        <v>122</v>
      </c>
      <c r="J123" t="str" cm="1">
        <f t="array" ref="J123">_xlfn.IFS(
H123&gt;=80," Investment Ready",
H123&gt;=60," Emerging Potential",
H123&gt;=40," Needs Capacity Support ",
TRUE,"High Risk")</f>
        <v xml:space="preserve"> Needs Capacity Support </v>
      </c>
    </row>
    <row r="124" spans="1:10" x14ac:dyDescent="0.35">
      <c r="A124" t="s">
        <v>165</v>
      </c>
      <c r="B124" t="s">
        <v>164</v>
      </c>
      <c r="C124">
        <v>8.75</v>
      </c>
      <c r="D124">
        <v>8</v>
      </c>
      <c r="E124">
        <v>20.357142857142858</v>
      </c>
      <c r="F124">
        <v>9.75</v>
      </c>
      <c r="G124">
        <v>10.5</v>
      </c>
      <c r="H124">
        <f t="shared" si="6"/>
        <v>57.357142857142861</v>
      </c>
      <c r="I124">
        <f t="shared" si="7"/>
        <v>123</v>
      </c>
      <c r="J124" t="str" cm="1">
        <f t="array" ref="J124">_xlfn.IFS(
H124&gt;=80," Investment Ready",
H124&gt;=60," Emerging Potential",
H124&gt;=40," Needs Capacity Support ",
TRUE,"High Risk")</f>
        <v xml:space="preserve"> Needs Capacity Support </v>
      </c>
    </row>
    <row r="125" spans="1:10" x14ac:dyDescent="0.35">
      <c r="A125" t="s">
        <v>92</v>
      </c>
      <c r="B125" t="s">
        <v>91</v>
      </c>
      <c r="C125">
        <v>10.625</v>
      </c>
      <c r="D125">
        <v>10</v>
      </c>
      <c r="E125">
        <v>17.142857142857142</v>
      </c>
      <c r="F125">
        <v>9</v>
      </c>
      <c r="G125">
        <v>10.5</v>
      </c>
      <c r="H125">
        <f t="shared" si="6"/>
        <v>57.267857142857139</v>
      </c>
      <c r="I125">
        <f t="shared" si="7"/>
        <v>124</v>
      </c>
      <c r="J125" t="str" cm="1">
        <f t="array" ref="J125">_xlfn.IFS(
H125&gt;=80," Investment Ready",
H125&gt;=60," Emerging Potential",
H125&gt;=40," Needs Capacity Support ",
TRUE,"High Risk")</f>
        <v xml:space="preserve"> Needs Capacity Support </v>
      </c>
    </row>
    <row r="126" spans="1:10" x14ac:dyDescent="0.35">
      <c r="A126" t="s">
        <v>89</v>
      </c>
      <c r="B126" t="s">
        <v>88</v>
      </c>
      <c r="C126">
        <v>10.625</v>
      </c>
      <c r="D126">
        <v>10</v>
      </c>
      <c r="E126">
        <v>15</v>
      </c>
      <c r="F126">
        <v>8.25</v>
      </c>
      <c r="G126">
        <v>12.75</v>
      </c>
      <c r="H126">
        <f t="shared" si="6"/>
        <v>56.625</v>
      </c>
      <c r="I126">
        <f t="shared" si="7"/>
        <v>125</v>
      </c>
      <c r="J126" t="str" cm="1">
        <f t="array" ref="J126">_xlfn.IFS(
H126&gt;=80," Investment Ready",
H126&gt;=60," Emerging Potential",
H126&gt;=40," Needs Capacity Support ",
TRUE,"High Risk")</f>
        <v xml:space="preserve"> Needs Capacity Support </v>
      </c>
    </row>
    <row r="127" spans="1:10" x14ac:dyDescent="0.35">
      <c r="A127" t="s">
        <v>238</v>
      </c>
      <c r="B127" t="s">
        <v>237</v>
      </c>
      <c r="C127">
        <v>12.5</v>
      </c>
      <c r="D127">
        <v>8</v>
      </c>
      <c r="E127">
        <v>15</v>
      </c>
      <c r="F127">
        <v>6.75</v>
      </c>
      <c r="G127">
        <v>14.25</v>
      </c>
      <c r="H127">
        <f t="shared" si="6"/>
        <v>56.5</v>
      </c>
      <c r="I127">
        <f t="shared" si="7"/>
        <v>126</v>
      </c>
      <c r="J127" t="str" cm="1">
        <f t="array" ref="J127">_xlfn.IFS(
H127&gt;=80," Investment Ready",
H127&gt;=60," Emerging Potential",
H127&gt;=40," Needs Capacity Support ",
TRUE,"High Risk")</f>
        <v xml:space="preserve"> Needs Capacity Support </v>
      </c>
    </row>
    <row r="128" spans="1:10" x14ac:dyDescent="0.35">
      <c r="A128" t="s">
        <v>109</v>
      </c>
      <c r="B128" t="s">
        <v>108</v>
      </c>
      <c r="C128">
        <v>11.25</v>
      </c>
      <c r="D128">
        <v>5</v>
      </c>
      <c r="E128">
        <v>18.214285714285712</v>
      </c>
      <c r="F128">
        <v>11.25</v>
      </c>
      <c r="G128">
        <v>10.5</v>
      </c>
      <c r="H128">
        <f t="shared" si="6"/>
        <v>56.214285714285708</v>
      </c>
      <c r="I128">
        <f t="shared" si="7"/>
        <v>127</v>
      </c>
      <c r="J128" t="str" cm="1">
        <f t="array" ref="J128">_xlfn.IFS(
H128&gt;=80," Investment Ready",
H128&gt;=60," Emerging Potential",
H128&gt;=40," Needs Capacity Support ",
TRUE,"High Risk")</f>
        <v xml:space="preserve"> Needs Capacity Support </v>
      </c>
    </row>
    <row r="129" spans="1:10" x14ac:dyDescent="0.35">
      <c r="A129" t="s">
        <v>205</v>
      </c>
      <c r="B129" t="s">
        <v>70</v>
      </c>
      <c r="C129">
        <v>8.125</v>
      </c>
      <c r="D129">
        <v>14</v>
      </c>
      <c r="E129">
        <v>18.214285714285712</v>
      </c>
      <c r="F129">
        <v>7.5</v>
      </c>
      <c r="G129">
        <v>8.25</v>
      </c>
      <c r="H129">
        <f t="shared" si="6"/>
        <v>56.089285714285708</v>
      </c>
      <c r="I129">
        <f t="shared" si="7"/>
        <v>128</v>
      </c>
      <c r="J129" t="str" cm="1">
        <f t="array" ref="J129">_xlfn.IFS(
H129&gt;=80," Investment Ready",
H129&gt;=60," Emerging Potential",
H129&gt;=40," Needs Capacity Support ",
TRUE,"High Risk")</f>
        <v xml:space="preserve"> Needs Capacity Support </v>
      </c>
    </row>
    <row r="130" spans="1:10" x14ac:dyDescent="0.35">
      <c r="A130" t="s">
        <v>257</v>
      </c>
      <c r="B130" t="s">
        <v>256</v>
      </c>
      <c r="C130">
        <v>15.625</v>
      </c>
      <c r="D130">
        <v>9</v>
      </c>
      <c r="E130">
        <v>13.75</v>
      </c>
      <c r="F130">
        <v>5.25</v>
      </c>
      <c r="G130">
        <v>12</v>
      </c>
      <c r="H130">
        <f t="shared" ref="H130:H151" si="8">SUM(C130:G130)</f>
        <v>55.625</v>
      </c>
      <c r="I130">
        <f t="shared" ref="I130:I151" si="9">_xlfn.RANK.EQ(H130,$H$2:$H$151,0)</f>
        <v>129</v>
      </c>
      <c r="J130" t="str" cm="1">
        <f t="array" ref="J130">_xlfn.IFS(
H130&gt;=80," Investment Ready",
H130&gt;=60," Emerging Potential",
H130&gt;=40," Needs Capacity Support ",
TRUE,"High Risk")</f>
        <v xml:space="preserve"> Needs Capacity Support </v>
      </c>
    </row>
    <row r="131" spans="1:10" x14ac:dyDescent="0.35">
      <c r="A131" t="s">
        <v>255</v>
      </c>
      <c r="B131" t="s">
        <v>254</v>
      </c>
      <c r="C131">
        <v>8.125</v>
      </c>
      <c r="D131">
        <v>12</v>
      </c>
      <c r="E131">
        <v>15</v>
      </c>
      <c r="F131">
        <v>11.25</v>
      </c>
      <c r="G131">
        <v>9</v>
      </c>
      <c r="H131">
        <f t="shared" si="8"/>
        <v>55.375</v>
      </c>
      <c r="I131">
        <f t="shared" si="9"/>
        <v>130</v>
      </c>
      <c r="J131" t="str" cm="1">
        <f t="array" ref="J131">_xlfn.IFS(
H131&gt;=80," Investment Ready",
H131&gt;=60," Emerging Potential",
H131&gt;=40," Needs Capacity Support ",
TRUE,"High Risk")</f>
        <v xml:space="preserve"> Needs Capacity Support </v>
      </c>
    </row>
    <row r="132" spans="1:10" x14ac:dyDescent="0.35">
      <c r="A132" t="s">
        <v>64</v>
      </c>
      <c r="B132" t="s">
        <v>63</v>
      </c>
      <c r="C132">
        <v>15.714285714285714</v>
      </c>
      <c r="D132">
        <v>9</v>
      </c>
      <c r="E132">
        <v>18.214285714285712</v>
      </c>
      <c r="F132">
        <v>4.5</v>
      </c>
      <c r="G132">
        <v>7.5</v>
      </c>
      <c r="H132">
        <f t="shared" si="8"/>
        <v>54.928571428571431</v>
      </c>
      <c r="I132">
        <f t="shared" si="9"/>
        <v>131</v>
      </c>
      <c r="J132" t="str" cm="1">
        <f t="array" ref="J132">_xlfn.IFS(
H132&gt;=80," Investment Ready",
H132&gt;=60," Emerging Potential",
H132&gt;=40," Needs Capacity Support ",
TRUE,"High Risk")</f>
        <v xml:space="preserve"> Needs Capacity Support </v>
      </c>
    </row>
    <row r="133" spans="1:10" x14ac:dyDescent="0.35">
      <c r="A133" t="s">
        <v>162</v>
      </c>
      <c r="B133" t="s">
        <v>161</v>
      </c>
      <c r="C133">
        <v>15</v>
      </c>
      <c r="D133">
        <v>8</v>
      </c>
      <c r="E133">
        <v>17.5</v>
      </c>
      <c r="F133">
        <v>6.75</v>
      </c>
      <c r="G133">
        <v>7.5</v>
      </c>
      <c r="H133">
        <f t="shared" si="8"/>
        <v>54.75</v>
      </c>
      <c r="I133">
        <f t="shared" si="9"/>
        <v>132</v>
      </c>
      <c r="J133" t="str" cm="1">
        <f t="array" ref="J133">_xlfn.IFS(
H133&gt;=80," Investment Ready",
H133&gt;=60," Emerging Potential",
H133&gt;=40," Needs Capacity Support ",
TRUE,"High Risk")</f>
        <v xml:space="preserve"> Needs Capacity Support </v>
      </c>
    </row>
    <row r="134" spans="1:10" x14ac:dyDescent="0.35">
      <c r="A134" t="s">
        <v>217</v>
      </c>
      <c r="B134" t="s">
        <v>216</v>
      </c>
      <c r="C134">
        <v>10.625</v>
      </c>
      <c r="D134">
        <v>11</v>
      </c>
      <c r="E134">
        <v>10.714285714285715</v>
      </c>
      <c r="F134">
        <v>9.75</v>
      </c>
      <c r="G134">
        <v>11.25</v>
      </c>
      <c r="H134">
        <f t="shared" si="8"/>
        <v>53.339285714285715</v>
      </c>
      <c r="I134">
        <f t="shared" si="9"/>
        <v>133</v>
      </c>
      <c r="J134" t="str" cm="1">
        <f t="array" ref="J134">_xlfn.IFS(
H134&gt;=80," Investment Ready",
H134&gt;=60," Emerging Potential",
H134&gt;=40," Needs Capacity Support ",
TRUE,"High Risk")</f>
        <v xml:space="preserve"> Needs Capacity Support </v>
      </c>
    </row>
    <row r="135" spans="1:10" x14ac:dyDescent="0.35">
      <c r="A135" t="s">
        <v>113</v>
      </c>
      <c r="B135" t="s">
        <v>112</v>
      </c>
      <c r="C135">
        <v>13.75</v>
      </c>
      <c r="D135">
        <v>15</v>
      </c>
      <c r="E135">
        <v>11.785714285714285</v>
      </c>
      <c r="F135">
        <v>4.5</v>
      </c>
      <c r="G135">
        <v>8.25</v>
      </c>
      <c r="H135">
        <f t="shared" si="8"/>
        <v>53.285714285714285</v>
      </c>
      <c r="I135">
        <f t="shared" si="9"/>
        <v>134</v>
      </c>
      <c r="J135" t="str" cm="1">
        <f t="array" ref="J135">_xlfn.IFS(
H135&gt;=80," Investment Ready",
H135&gt;=60," Emerging Potential",
H135&gt;=40," Needs Capacity Support ",
TRUE,"High Risk")</f>
        <v xml:space="preserve"> Needs Capacity Support </v>
      </c>
    </row>
    <row r="136" spans="1:10" x14ac:dyDescent="0.35">
      <c r="A136" t="s">
        <v>274</v>
      </c>
      <c r="B136" t="s">
        <v>273</v>
      </c>
      <c r="C136">
        <v>11.25</v>
      </c>
      <c r="D136">
        <v>5</v>
      </c>
      <c r="E136">
        <v>17.142857142857142</v>
      </c>
      <c r="F136">
        <v>6.75</v>
      </c>
      <c r="G136">
        <v>12.75</v>
      </c>
      <c r="H136">
        <f t="shared" si="8"/>
        <v>52.892857142857139</v>
      </c>
      <c r="I136">
        <f t="shared" si="9"/>
        <v>135</v>
      </c>
      <c r="J136" t="str" cm="1">
        <f t="array" ref="J136">_xlfn.IFS(
H136&gt;=80," Investment Ready",
H136&gt;=60," Emerging Potential",
H136&gt;=40," Needs Capacity Support ",
TRUE,"High Risk")</f>
        <v xml:space="preserve"> Needs Capacity Support </v>
      </c>
    </row>
    <row r="137" spans="1:10" x14ac:dyDescent="0.35">
      <c r="A137" t="s">
        <v>71</v>
      </c>
      <c r="B137" t="s">
        <v>70</v>
      </c>
      <c r="C137">
        <v>14.375</v>
      </c>
      <c r="D137">
        <v>4</v>
      </c>
      <c r="E137">
        <v>16.071428571428569</v>
      </c>
      <c r="F137">
        <v>6</v>
      </c>
      <c r="G137">
        <v>11.25</v>
      </c>
      <c r="H137">
        <f t="shared" si="8"/>
        <v>51.696428571428569</v>
      </c>
      <c r="I137">
        <f t="shared" si="9"/>
        <v>136</v>
      </c>
      <c r="J137" t="str" cm="1">
        <f t="array" ref="J137">_xlfn.IFS(
H137&gt;=80," Investment Ready",
H137&gt;=60," Emerging Potential",
H137&gt;=40," Needs Capacity Support ",
TRUE,"High Risk")</f>
        <v xml:space="preserve"> Needs Capacity Support </v>
      </c>
    </row>
    <row r="138" spans="1:10" x14ac:dyDescent="0.35">
      <c r="A138" t="s">
        <v>53</v>
      </c>
      <c r="B138" t="s">
        <v>52</v>
      </c>
      <c r="C138">
        <v>8.75</v>
      </c>
      <c r="D138">
        <v>10</v>
      </c>
      <c r="E138">
        <v>13.928571428571429</v>
      </c>
      <c r="F138">
        <v>8.4375</v>
      </c>
      <c r="G138">
        <v>9.75</v>
      </c>
      <c r="H138">
        <f t="shared" si="8"/>
        <v>50.866071428571431</v>
      </c>
      <c r="I138">
        <f t="shared" si="9"/>
        <v>137</v>
      </c>
      <c r="J138" t="str" cm="1">
        <f t="array" ref="J138">_xlfn.IFS(
H138&gt;=80," Investment Ready",
H138&gt;=60," Emerging Potential",
H138&gt;=40," Needs Capacity Support ",
TRUE,"High Risk")</f>
        <v xml:space="preserve"> Needs Capacity Support </v>
      </c>
    </row>
    <row r="139" spans="1:10" x14ac:dyDescent="0.35">
      <c r="A139" t="s">
        <v>102</v>
      </c>
      <c r="B139" t="s">
        <v>101</v>
      </c>
      <c r="C139">
        <v>13.75</v>
      </c>
      <c r="D139">
        <v>4</v>
      </c>
      <c r="E139">
        <v>12.857142857142856</v>
      </c>
      <c r="F139">
        <v>8.25</v>
      </c>
      <c r="G139">
        <v>12</v>
      </c>
      <c r="H139">
        <f t="shared" si="8"/>
        <v>50.857142857142854</v>
      </c>
      <c r="I139">
        <f t="shared" si="9"/>
        <v>138</v>
      </c>
      <c r="J139" t="str" cm="1">
        <f t="array" ref="J139">_xlfn.IFS(
H139&gt;=80," Investment Ready",
H139&gt;=60," Emerging Potential",
H139&gt;=40," Needs Capacity Support ",
TRUE,"High Risk")</f>
        <v xml:space="preserve"> Needs Capacity Support </v>
      </c>
    </row>
    <row r="140" spans="1:10" x14ac:dyDescent="0.35">
      <c r="A140" t="s">
        <v>78</v>
      </c>
      <c r="B140" t="s">
        <v>77</v>
      </c>
      <c r="C140">
        <v>15.625</v>
      </c>
      <c r="D140">
        <v>5</v>
      </c>
      <c r="E140">
        <v>13.928571428571429</v>
      </c>
      <c r="F140">
        <v>6.75</v>
      </c>
      <c r="G140">
        <v>9</v>
      </c>
      <c r="H140">
        <f t="shared" si="8"/>
        <v>50.303571428571431</v>
      </c>
      <c r="I140">
        <f t="shared" si="9"/>
        <v>139</v>
      </c>
      <c r="J140" t="str" cm="1">
        <f t="array" ref="J140">_xlfn.IFS(
H140&gt;=80," Investment Ready",
H140&gt;=60," Emerging Potential",
H140&gt;=40," Needs Capacity Support ",
TRUE,"High Risk")</f>
        <v xml:space="preserve"> Needs Capacity Support </v>
      </c>
    </row>
    <row r="141" spans="1:10" x14ac:dyDescent="0.35">
      <c r="A141" t="s">
        <v>86</v>
      </c>
      <c r="B141" t="s">
        <v>85</v>
      </c>
      <c r="C141">
        <v>16.25</v>
      </c>
      <c r="D141">
        <v>7</v>
      </c>
      <c r="E141">
        <v>9.6428571428571441</v>
      </c>
      <c r="F141">
        <v>6.5625</v>
      </c>
      <c r="G141">
        <v>9.75</v>
      </c>
      <c r="H141">
        <f t="shared" si="8"/>
        <v>49.205357142857146</v>
      </c>
      <c r="I141">
        <f t="shared" si="9"/>
        <v>140</v>
      </c>
      <c r="J141" t="str" cm="1">
        <f t="array" ref="J141">_xlfn.IFS(
H141&gt;=80," Investment Ready",
H141&gt;=60," Emerging Potential",
H141&gt;=40," Needs Capacity Support ",
TRUE,"High Risk")</f>
        <v xml:space="preserve"> Needs Capacity Support </v>
      </c>
    </row>
    <row r="142" spans="1:10" x14ac:dyDescent="0.35">
      <c r="A142" t="s">
        <v>103</v>
      </c>
      <c r="B142" t="s">
        <v>52</v>
      </c>
      <c r="C142">
        <v>14.375</v>
      </c>
      <c r="D142">
        <v>6</v>
      </c>
      <c r="E142">
        <v>9.6428571428571441</v>
      </c>
      <c r="F142">
        <v>7.5</v>
      </c>
      <c r="G142">
        <v>11.25</v>
      </c>
      <c r="H142">
        <f t="shared" si="8"/>
        <v>48.767857142857146</v>
      </c>
      <c r="I142">
        <f t="shared" si="9"/>
        <v>141</v>
      </c>
      <c r="J142" t="str" cm="1">
        <f t="array" ref="J142">_xlfn.IFS(
H142&gt;=80," Investment Ready",
H142&gt;=60," Emerging Potential",
H142&gt;=40," Needs Capacity Support ",
TRUE,"High Risk")</f>
        <v xml:space="preserve"> Needs Capacity Support </v>
      </c>
    </row>
    <row r="143" spans="1:10" x14ac:dyDescent="0.35">
      <c r="A143" t="s">
        <v>76</v>
      </c>
      <c r="B143" t="s">
        <v>75</v>
      </c>
      <c r="C143">
        <v>11.25</v>
      </c>
      <c r="D143">
        <v>10</v>
      </c>
      <c r="E143">
        <v>6.4285714285714279</v>
      </c>
      <c r="F143">
        <v>6.75</v>
      </c>
      <c r="G143">
        <v>14.25</v>
      </c>
      <c r="H143">
        <f t="shared" si="8"/>
        <v>48.678571428571431</v>
      </c>
      <c r="I143">
        <f t="shared" si="9"/>
        <v>142</v>
      </c>
      <c r="J143" t="str" cm="1">
        <f t="array" ref="J143">_xlfn.IFS(
H143&gt;=80," Investment Ready",
H143&gt;=60," Emerging Potential",
H143&gt;=40," Needs Capacity Support ",
TRUE,"High Risk")</f>
        <v xml:space="preserve"> Needs Capacity Support </v>
      </c>
    </row>
    <row r="144" spans="1:10" x14ac:dyDescent="0.35">
      <c r="A144" t="s">
        <v>59</v>
      </c>
      <c r="B144" t="s">
        <v>58</v>
      </c>
      <c r="C144">
        <v>5</v>
      </c>
      <c r="D144">
        <v>12</v>
      </c>
      <c r="E144">
        <v>8.75</v>
      </c>
      <c r="F144">
        <v>8.25</v>
      </c>
      <c r="G144">
        <v>14.25</v>
      </c>
      <c r="H144">
        <f t="shared" si="8"/>
        <v>48.25</v>
      </c>
      <c r="I144">
        <f t="shared" si="9"/>
        <v>143</v>
      </c>
      <c r="J144" t="str" cm="1">
        <f t="array" ref="J144">_xlfn.IFS(
H144&gt;=80," Investment Ready",
H144&gt;=60," Emerging Potential",
H144&gt;=40," Needs Capacity Support ",
TRUE,"High Risk")</f>
        <v xml:space="preserve"> Needs Capacity Support </v>
      </c>
    </row>
    <row r="145" spans="1:10" x14ac:dyDescent="0.35">
      <c r="A145" t="s">
        <v>107</v>
      </c>
      <c r="B145" t="s">
        <v>106</v>
      </c>
      <c r="C145">
        <v>11.428571428571427</v>
      </c>
      <c r="D145">
        <v>7</v>
      </c>
      <c r="E145">
        <v>9.6428571428571441</v>
      </c>
      <c r="F145">
        <v>7.5</v>
      </c>
      <c r="G145">
        <v>12</v>
      </c>
      <c r="H145">
        <f t="shared" si="8"/>
        <v>47.571428571428569</v>
      </c>
      <c r="I145">
        <f t="shared" si="9"/>
        <v>144</v>
      </c>
      <c r="J145" t="str" cm="1">
        <f t="array" ref="J145">_xlfn.IFS(
H145&gt;=80," Investment Ready",
H145&gt;=60," Emerging Potential",
H145&gt;=40," Needs Capacity Support ",
TRUE,"High Risk")</f>
        <v xml:space="preserve"> Needs Capacity Support </v>
      </c>
    </row>
    <row r="146" spans="1:10" x14ac:dyDescent="0.35">
      <c r="A146" t="s">
        <v>105</v>
      </c>
      <c r="B146" t="s">
        <v>104</v>
      </c>
      <c r="C146">
        <v>10</v>
      </c>
      <c r="D146">
        <v>7</v>
      </c>
      <c r="E146">
        <v>7.5</v>
      </c>
      <c r="F146">
        <v>9</v>
      </c>
      <c r="G146">
        <v>9.75</v>
      </c>
      <c r="H146">
        <f t="shared" si="8"/>
        <v>43.25</v>
      </c>
      <c r="I146">
        <f t="shared" si="9"/>
        <v>145</v>
      </c>
      <c r="J146" t="str" cm="1">
        <f t="array" ref="J146">_xlfn.IFS(
H146&gt;=80," Investment Ready",
H146&gt;=60," Emerging Potential",
H146&gt;=40," Needs Capacity Support ",
TRUE,"High Risk")</f>
        <v xml:space="preserve"> Needs Capacity Support </v>
      </c>
    </row>
    <row r="147" spans="1:10" x14ac:dyDescent="0.35">
      <c r="A147" t="s">
        <v>117</v>
      </c>
      <c r="B147" t="s">
        <v>116</v>
      </c>
      <c r="C147">
        <v>10</v>
      </c>
      <c r="D147">
        <v>5</v>
      </c>
      <c r="E147">
        <v>16.071428571428569</v>
      </c>
      <c r="F147">
        <v>4.5</v>
      </c>
      <c r="G147">
        <v>7.5</v>
      </c>
      <c r="H147">
        <f t="shared" si="8"/>
        <v>43.071428571428569</v>
      </c>
      <c r="I147">
        <f t="shared" si="9"/>
        <v>146</v>
      </c>
      <c r="J147" t="str" cm="1">
        <f t="array" ref="J147">_xlfn.IFS(
H147&gt;=80," Investment Ready",
H147&gt;=60," Emerging Potential",
H147&gt;=40," Needs Capacity Support ",
TRUE,"High Risk")</f>
        <v xml:space="preserve"> Needs Capacity Support </v>
      </c>
    </row>
    <row r="148" spans="1:10" x14ac:dyDescent="0.35">
      <c r="A148" t="s">
        <v>111</v>
      </c>
      <c r="B148" t="s">
        <v>110</v>
      </c>
      <c r="C148">
        <v>6.875</v>
      </c>
      <c r="D148">
        <v>6</v>
      </c>
      <c r="E148">
        <v>12.857142857142856</v>
      </c>
      <c r="F148">
        <v>9</v>
      </c>
      <c r="G148">
        <v>8.25</v>
      </c>
      <c r="H148">
        <f t="shared" si="8"/>
        <v>42.982142857142854</v>
      </c>
      <c r="I148">
        <f t="shared" si="9"/>
        <v>147</v>
      </c>
      <c r="J148" t="str" cm="1">
        <f t="array" ref="J148">_xlfn.IFS(
H148&gt;=80," Investment Ready",
H148&gt;=60," Emerging Potential",
H148&gt;=40," Needs Capacity Support ",
TRUE,"High Risk")</f>
        <v xml:space="preserve"> Needs Capacity Support </v>
      </c>
    </row>
    <row r="149" spans="1:10" x14ac:dyDescent="0.35">
      <c r="A149" t="s">
        <v>69</v>
      </c>
      <c r="B149" t="s">
        <v>68</v>
      </c>
      <c r="C149">
        <v>8.75</v>
      </c>
      <c r="D149">
        <v>4</v>
      </c>
      <c r="E149">
        <v>11.785714285714285</v>
      </c>
      <c r="F149">
        <v>8.25</v>
      </c>
      <c r="G149">
        <v>9</v>
      </c>
      <c r="H149">
        <f t="shared" si="8"/>
        <v>41.785714285714285</v>
      </c>
      <c r="I149">
        <f t="shared" si="9"/>
        <v>148</v>
      </c>
      <c r="J149" t="str" cm="1">
        <f t="array" ref="J149">_xlfn.IFS(
H149&gt;=80," Investment Ready",
H149&gt;=60," Emerging Potential",
H149&gt;=40," Needs Capacity Support ",
TRUE,"High Risk")</f>
        <v xml:space="preserve"> Needs Capacity Support </v>
      </c>
    </row>
    <row r="150" spans="1:10" x14ac:dyDescent="0.35">
      <c r="A150" t="s">
        <v>94</v>
      </c>
      <c r="B150" t="s">
        <v>93</v>
      </c>
      <c r="C150">
        <v>6.875</v>
      </c>
      <c r="D150">
        <v>8</v>
      </c>
      <c r="E150">
        <v>6.4285714285714279</v>
      </c>
      <c r="F150">
        <v>9.75</v>
      </c>
      <c r="G150">
        <v>10.5</v>
      </c>
      <c r="H150">
        <f t="shared" si="8"/>
        <v>41.553571428571431</v>
      </c>
      <c r="I150">
        <f t="shared" si="9"/>
        <v>149</v>
      </c>
      <c r="J150" t="str" cm="1">
        <f t="array" ref="J150">_xlfn.IFS(
H150&gt;=80," Investment Ready",
H150&gt;=60," Emerging Potential",
H150&gt;=40," Needs Capacity Support ",
TRUE,"High Risk")</f>
        <v xml:space="preserve"> Needs Capacity Support </v>
      </c>
    </row>
    <row r="151" spans="1:10" x14ac:dyDescent="0.35">
      <c r="A151" t="s">
        <v>47</v>
      </c>
      <c r="B151" t="s">
        <v>46</v>
      </c>
      <c r="C151">
        <v>11.25</v>
      </c>
      <c r="D151">
        <v>8</v>
      </c>
      <c r="E151">
        <v>7.5</v>
      </c>
      <c r="F151">
        <v>4.5</v>
      </c>
      <c r="G151">
        <v>8.25</v>
      </c>
      <c r="H151">
        <f t="shared" si="8"/>
        <v>39.5</v>
      </c>
      <c r="I151">
        <f t="shared" si="9"/>
        <v>150</v>
      </c>
      <c r="J151" t="str" cm="1">
        <f t="array" ref="J151">_xlfn.IFS(
H151&gt;=80," Investment Ready",
H151&gt;=60," Emerging Potential",
H151&gt;=40," Needs Capacity Support ",
TRUE,"High Risk")</f>
        <v>High Risk</v>
      </c>
    </row>
  </sheetData>
  <autoFilter ref="A1:J151" xr:uid="{72322D6C-C884-4F8D-84B7-281555AC3DD7}">
    <sortState xmlns:xlrd2="http://schemas.microsoft.com/office/spreadsheetml/2017/richdata2" ref="A2:J151">
      <sortCondition ref="I1:I151"/>
    </sortState>
  </autoFilter>
  <sortState xmlns:xlrd2="http://schemas.microsoft.com/office/spreadsheetml/2017/richdata2" ref="I2:I38">
    <sortCondition descending="1" ref="I1:I1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618C5A-1288-420D-93F7-327DCFDEE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Score_Calculations</vt:lpstr>
      <vt:lpstr>Pillar_Scores</vt:lpstr>
      <vt:lpstr>Final_Ranking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 Comments</dc:creator>
  <cp:lastModifiedBy>ATS Comments</cp:lastModifiedBy>
  <dcterms:created xsi:type="dcterms:W3CDTF">2026-05-20T13:45:26Z</dcterms:created>
  <dcterms:modified xsi:type="dcterms:W3CDTF">2026-10-10T13:04:54Z</dcterms:modified>
</cp:coreProperties>
</file>